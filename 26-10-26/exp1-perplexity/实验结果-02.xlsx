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320"/>
  </bookViews>
  <sheets>
    <sheet name="实验结果" sheetId="1" r:id="rId1"/>
    <sheet name="完整回复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<sst xmlns="http://schemas.openxmlformats.org/spreadsheetml/2006/main" count="157" uniqueCount="88">
  <si>
    <t>Perplexity 英文屏幕转写实验（第02轮）</t>
  </si>
  <si>
    <t>平均正确率</t>
  </si>
  <si>
    <t>跨档SD (pp)</t>
  </si>
  <si>
    <t>图片数</t>
  </si>
  <si>
    <t>满分轮次</t>
  </si>
  <si>
    <t>2026-10-26　黑底　原图48px　1080×2400　g1–g32每档1次　每图100个目标字母</t>
  </si>
  <si>
    <t>标准差描述本轮不同灰度之间的离散程度；每档1次，不代表同档重复误差。</t>
  </si>
  <si>
    <r>
      <t>本轮全部关闭自动亮度，固定最大亮度</t>
    </r>
    <r>
      <rPr>
        <sz val="11"/>
        <color rgb="FF000000"/>
        <rFont val="Arial"/>
        <charset val="134"/>
      </rPr>
      <t>255</t>
    </r>
    <r>
      <rPr>
        <sz val="11"/>
        <color rgb="FF000000"/>
        <rFont val="宋体-简"/>
        <charset val="134"/>
      </rPr>
      <t>；</t>
    </r>
  </si>
  <si>
    <t>名义灰度</t>
  </si>
  <si>
    <t>正确数 /100</t>
  </si>
  <si>
    <t>正确率</t>
  </si>
  <si>
    <t>错字</t>
  </si>
  <si>
    <t>漏字</t>
  </si>
  <si>
    <t>多字</t>
  </si>
  <si>
    <t>未知符数</t>
  </si>
  <si>
    <t>亮度条件</t>
  </si>
  <si>
    <t>结果及注意事项</t>
  </si>
  <si>
    <t>最大亮度</t>
  </si>
  <si>
    <t>不可读</t>
  </si>
  <si>
    <t>部分转写</t>
  </si>
  <si>
    <t>合计</t>
  </si>
  <si>
    <t>3200个目标字符</t>
  </si>
  <si>
    <t>错字=替换；漏字=删除；多字=插入。[UNK]按1个未知字符评分，[UNREADABLE]计0/100。</t>
  </si>
  <si>
    <t>第02轮已覆盖g1–g32，原g1–g24结果不变。完整回复和原始截图见 evidence-02。</t>
  </si>
  <si>
    <t>完整回复与参考字符（第02轮）</t>
  </si>
  <si>
    <t>来源：evidence-02/records、responses；参考字符：Random-characters.txt。</t>
  </si>
  <si>
    <t>参考字符</t>
  </si>
  <si>
    <t>WEATFMVQYHCLIUIBZCDZ
PQLCFFGRQAXXLGTIRTGK
FTWUUWEIJQKUMAOUKARP
HPAHTEXPURNKYQYHOSZH
OWECDAHTVWPPSYPQNNAL</t>
  </si>
  <si>
    <t>第02轮，全部固定最大亮度。原文和换行原样保留，截图文件见 evidence-02/screenshots。</t>
  </si>
  <si>
    <t>助手完整回复</t>
  </si>
  <si>
    <t>对应截图文件名</t>
  </si>
  <si>
    <t>[UNREADABLE]</t>
  </si>
  <si>
    <t>exp1-screenshot-1.png</t>
  </si>
  <si>
    <t>exp1-screenshot-2.png</t>
  </si>
  <si>
    <t>exp1-screenshot-3.png</t>
  </si>
  <si>
    <t>exp1-screenshot-4.png</t>
  </si>
  <si>
    <t>exp1-screenshot-5.png</t>
  </si>
  <si>
    <t>exp1-screenshot-6.png</t>
  </si>
  <si>
    <t>exp1-screenshot-7.png</t>
  </si>
  <si>
    <t>WEATFMDYHGLUIXZQDZ
POLCFRQRAXXLGTRTGK
FTWUJWELQKUMAOUKARP
HBANTFYPUBNKYOVHDSZH
QWEGDAHIYWPTSYFONNAL</t>
  </si>
  <si>
    <t>exp1-screenshot-8.png</t>
  </si>
  <si>
    <t>WEATPHNQYHCLUESZDZ
PQLCFRORAXXLGTRTGK
FTWUUWELQKUMAOUKRP
HPAIEXPUBNKVOYHQSZH
OWECDAHTVWPTSYPCNNAL</t>
  </si>
  <si>
    <t>exp1-screenshot-9.png</t>
  </si>
  <si>
    <t>WEATFMVQYHCLIBIXZCDZ
PQLCFFSROAXXLGIIRTGK
FTWUIWVELQKUMAOUKARP
HPAFTEXPUBNKYQYHOSZH
OWEGDAHTVWPBSYPONNAL</t>
  </si>
  <si>
    <t>exp1-screenshot-10.png</t>
  </si>
  <si>
    <t>WEATFMVOYHCLUIIBZCDZ
PQLCFFGRQAXXLGTLRTGK
FTWIUIWEJQKUMAOUKARP
HP[UNK]HTFXPUBNKYQYHGSZH
QWEGDAHTWWPPSYPQNNAL</t>
  </si>
  <si>
    <t>exp1-screenshot-11.png</t>
  </si>
  <si>
    <t>WEATFMVQYHCLLUIBZCDZ
PQLCFFGRQAXXLGTIRTGK
FTWUUWELQKUMAOUKARP
HPAHTFYRUBNKYQYHOSZH
OWECQAHTWWPPSYPONNAL</t>
  </si>
  <si>
    <t>exp1-screenshot-12.png</t>
  </si>
  <si>
    <t>WEATFMVOYHCLILJIBZCDZ
PQLCFCROAXXLGTLRTGK
FTWUJWUELQKUMAOUKARP
HPAHTEXFUBNKYQYHDSZH
OWECDAHTMWPPSYPQNNAL</t>
  </si>
  <si>
    <t>exp1-screenshot-13.png</t>
  </si>
  <si>
    <t>WEATFMVQYHCLUIB2CDZ
PQLCFFGRQAXXLGTIRTGK
FTWUUWEJUQKUMAOUKARP
HPAHTEXPUFNKVQYHOSZH
OWECDAHTVWPPSYPQNNAL</t>
  </si>
  <si>
    <t>exp1-screenshot-14.png</t>
  </si>
  <si>
    <t>WEATFMVOYHCLILIBZCDZ
PQLCFFGRQAXXLGTLRTGK
FTWUIWEJOKUMAOUKARP
HPAHTEXPURNKVOYHOSZH
OWECDAHTVWPPSYPQNNAL</t>
  </si>
  <si>
    <t>exp1-screenshot-15.png</t>
  </si>
  <si>
    <t>WEATFMVQYHCLILIDZCDZ
PQLCFFGRQAXXLGTLRTGK
FTWJUWEIJQKUMAOUKARP
HPAHTEXPURNKVCYHOSZH
OWECDAHTVWPPSYPQNNAL</t>
  </si>
  <si>
    <t>exp1-screenshot-16.png</t>
  </si>
  <si>
    <t>WEATFMJOYHCLIIBIZCDZ
PQLCFFGRQAXXLGTIRTGK
FTWUUWEIJQKUMAOUKARP
HPAHTEXPLRNKYOYHOSZH
OWECDAHTWWPPSYPONNAL</t>
  </si>
  <si>
    <t>exp1-screenshot-17.png</t>
  </si>
  <si>
    <t>WEATFMVOYHICLIUIBZCDZ
PQLCFFGRQAXXLGTIRTGK
FTWUUWEIJQKUMAOUKARP
HPAHTEXPURNKYOYHOSZH
OWECDAHTWWPPSYPQNNAL</t>
  </si>
  <si>
    <t>exp1-screenshot-18.png</t>
  </si>
  <si>
    <t>WEATFMVOYHCLIUIBZCDZ
PQLCFFGRQAXXLGTIRTGK
FTWUUWEIJQKUMAOUKARP
HPAHTEYPURNKXOYHOSZH
OWECDAHTWWPPSYPQNNAL</t>
  </si>
  <si>
    <t>exp1-screenshot-19.png</t>
  </si>
  <si>
    <t>WEATFMVOYHCLIJIBIZCDZ
PQLCFFGRQAXXLGTIRTGK
FTWUUWEIJQKUMAOUKARP
HPAHTEXPURNKYOYHDSZH
OWECDAHTWWPPSYPQNNAL</t>
  </si>
  <si>
    <t>exp1-screenshot-20.png</t>
  </si>
  <si>
    <t>WEATFMWOYHCLIUIBZCDZ
PQLCFFGRQAXXLGTIRTGK
FTWUUWEIJQKUMAOUKARP
HPAHTEXPURNKYOYHOSZH
OWECDAHTVWPPSYPQNNAL</t>
  </si>
  <si>
    <t>exp1-screenshot-21.png</t>
  </si>
  <si>
    <t>WEATFMWOYHCLIUBZCDZ
PQLCFFGRQAXXLGTIRTGK
FTWUUWEIJQKUMAOUKARP
HPAHTEXPURNKYOYHOSZH
OWECDAHTWWPPSYPQNNAL</t>
  </si>
  <si>
    <t>exp1-screenshot-22.png</t>
  </si>
  <si>
    <t>WEATFMVQYHCLIUIBZCDZ
PQLCFFGRQAXXLGTIRTGK
FTWUUWEIJQKUMAOUKARP
HPAHTEXPIBNKYOYHOSZH
OWECDAHTWWPPSYPQNNAL</t>
  </si>
  <si>
    <t>exp1-screenshot-23.png</t>
  </si>
  <si>
    <t>WEATFMVQYHCLIUBIZCDZ
PQLCFFGRQAXXLGTIRTGK
FTWUUWEIJQKUMAOUKARP
HPAHTEXPURNKYOYHOSZH
OWECDAHTWWPPSYPQNNAL</t>
  </si>
  <si>
    <t>exp1-screenshot-24.png</t>
  </si>
  <si>
    <t>WEATFMVQYHCLIUIBZCDZ
PQLCFFGRQAXXLGTIRTGK
FTWUUWEIJQKUMAOUKARP
HPAHTEXPIJRNKXQYHOSZH
OWECDAHTWWPPSYPQNNAL</t>
  </si>
  <si>
    <t>exp1-screenshot-25.png</t>
  </si>
  <si>
    <t>WEATFMVQYHCLIUIBZCDZ
PQLCFFGRQAXXLGTIRTGK
FTWUUWEIJQKUMAOUKARP
HPAHTEXPURNKYOYHOSZH
OWECDAHTWWPPSYPQNNAL</t>
  </si>
  <si>
    <t>exp1-screenshot-26.png</t>
  </si>
  <si>
    <t>WEATFMVQYHCLIUIBZCDZ
PQLCFFGRQAXXLGITRTGK
FTWUUWEIJQKUMAOUKARP
HPAHTFXPURMKYOYHOSZH
OWECDAHTWWPPSYPQNNAL</t>
  </si>
  <si>
    <t>exp1-screenshot-27.png</t>
  </si>
  <si>
    <t>exp1-screenshot-28.png</t>
  </si>
  <si>
    <t>WEATFMVQYHCLIUBIZCDZ
PQLCFFGRQAXXLGTIRTGK
FTWUUWEIJQKUMAOUKARP
HPAHTFXPURNIKYOYHOSZH
OWECDAHTWWPPSYPQNNAL</t>
  </si>
  <si>
    <t>exp1-screenshot-29.png</t>
  </si>
  <si>
    <t>WEATFMVQYHCLIUIBZCDZ
PQLCFFGRQAXXLGTIRTGK
FTWUUWEIJQKUMAOUKARP
HPAHTEXPIJRNKYOYHOSZH
OWECDAHTWWPPSYPQNNAL</t>
  </si>
  <si>
    <t>exp1-screenshot-30.png</t>
  </si>
  <si>
    <t>WEATFMVQYHCLIUIBZCDZ
PQLCFFGRQAXXLGTIRTGK
FTWUWEIJQKUMAOUKARP
HPAHTFXPURNKYQYHOSZH
OWECDAHTWWPPSYPQNNAL</t>
  </si>
  <si>
    <t>exp1-screenshot-31.png</t>
  </si>
  <si>
    <t>WEATFMVQYHCLIUIBZCDZ
PQLCFFGRQAXXLGTIRTGK
FTWUWEIJQKUMAOUKARP
HPAHTEXPURNKYOYHOSZH
OWECDAHTWWPPSYPQNNAL</t>
  </si>
  <si>
    <t>exp1-screenshot-32.png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</si>
</sst>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5">
    <font>
      <sz val="11"/>
      <name val="Carlito"/>
      <charset val="134"/>
    </font>
    <font>
      <sz val="11"/>
      <color rgb="FF000000"/>
      <name val="Arial"/>
      <charset val="134"/>
    </font>
    <font>
      <b/>
      <sz val="14"/>
      <color rgb="FF000000"/>
      <name val="Arial"/>
      <charset val="134"/>
    </font>
    <font>
      <b/>
      <sz val="11"/>
      <color rgb="FF000000"/>
      <name val="Arial"/>
      <charset val="134"/>
    </font>
    <font>
      <sz val="11"/>
      <color rgb="FF000000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</cellStyleXfs>
  <cellXfs count="24">
    <xf numFmtId="0" fontId="0" fillId="0" borderId="0" xfId="49"/>
    <xf numFmtId="0" fontId="1" fillId="2" borderId="1" xfId="49" applyNumberFormat="1" applyFont="1" applyFill="1" applyBorder="1" applyAlignment="1">
      <alignment vertical="center"/>
    </xf>
    <xf numFmtId="0" fontId="2" fillId="2" borderId="1" xfId="49" applyNumberFormat="1" applyFont="1" applyFill="1" applyBorder="1" applyAlignment="1">
      <alignment vertical="center"/>
    </xf>
    <xf numFmtId="0" fontId="1" fillId="2" borderId="1" xfId="49" applyNumberFormat="1" applyFont="1" applyFill="1" applyBorder="1" applyAlignment="1">
      <alignment vertical="top" wrapText="1"/>
    </xf>
    <xf numFmtId="0" fontId="3" fillId="3" borderId="2" xfId="49" applyNumberFormat="1" applyFont="1" applyFill="1" applyBorder="1" applyAlignment="1">
      <alignment horizontal="center" vertical="center"/>
    </xf>
    <xf numFmtId="0" fontId="1" fillId="2" borderId="2" xfId="49" applyNumberFormat="1" applyFont="1" applyFill="1" applyBorder="1" applyAlignment="1">
      <alignment horizontal="right" vertical="top"/>
    </xf>
    <xf numFmtId="0" fontId="1" fillId="2" borderId="2" xfId="49" applyNumberFormat="1" applyFont="1" applyFill="1" applyBorder="1" applyAlignment="1">
      <alignment vertical="top" wrapText="1"/>
    </xf>
    <xf numFmtId="0" fontId="1" fillId="2" borderId="2" xfId="49" applyNumberFormat="1" applyFont="1" applyFill="1" applyBorder="1" applyAlignment="1">
      <alignment vertical="top"/>
    </xf>
    <xf numFmtId="10" fontId="1" fillId="2" borderId="1" xfId="49" applyNumberFormat="1" applyFont="1" applyFill="1" applyBorder="1" applyAlignment="1">
      <alignment vertical="center"/>
    </xf>
    <xf numFmtId="2" fontId="1" fillId="2" borderId="1" xfId="49" applyNumberFormat="1" applyFont="1" applyFill="1" applyBorder="1" applyAlignment="1">
      <alignment vertical="center"/>
    </xf>
    <xf numFmtId="0" fontId="4" fillId="2" borderId="1" xfId="49" applyNumberFormat="1" applyFont="1" applyFill="1" applyBorder="1" applyAlignment="1">
      <alignment vertical="center"/>
    </xf>
    <xf numFmtId="1" fontId="1" fillId="2" borderId="2" xfId="49" applyNumberFormat="1" applyFont="1" applyFill="1" applyBorder="1" applyAlignment="1">
      <alignment horizontal="right" vertical="center"/>
    </xf>
    <xf numFmtId="176" fontId="1" fillId="2" borderId="2" xfId="49" applyNumberFormat="1" applyFont="1" applyFill="1" applyBorder="1" applyAlignment="1">
      <alignment horizontal="right" vertical="center"/>
    </xf>
    <xf numFmtId="49" fontId="1" fillId="2" borderId="2" xfId="49" applyNumberFormat="1" applyFont="1" applyFill="1" applyBorder="1" applyAlignment="1">
      <alignment horizontal="left" vertical="center"/>
    </xf>
    <xf numFmtId="0" fontId="4" fillId="2" borderId="2" xfId="49" applyNumberFormat="1" applyFont="1" applyFill="1" applyBorder="1" applyAlignment="1">
      <alignment horizontal="left" vertical="center"/>
    </xf>
    <xf numFmtId="0" fontId="1" fillId="2" borderId="2" xfId="49" applyNumberFormat="1" applyFont="1" applyFill="1" applyBorder="1" applyAlignment="1">
      <alignment horizontal="left" vertical="center"/>
    </xf>
    <xf numFmtId="1" fontId="1" fillId="2" borderId="2" xfId="49" applyNumberFormat="1" applyFont="1" applyFill="1" applyBorder="1" applyAlignment="1">
      <alignment horizontal="right"/>
    </xf>
    <xf numFmtId="176" fontId="1" fillId="2" borderId="2" xfId="49" applyNumberFormat="1" applyFont="1" applyFill="1" applyBorder="1" applyAlignment="1">
      <alignment horizontal="right"/>
    </xf>
    <xf numFmtId="49" fontId="1" fillId="2" borderId="2" xfId="49" applyNumberFormat="1" applyFont="1" applyFill="1" applyBorder="1" applyAlignment="1">
      <alignment horizontal="left"/>
    </xf>
    <xf numFmtId="0" fontId="1" fillId="2" borderId="2" xfId="49" applyNumberFormat="1" applyFont="1" applyFill="1" applyBorder="1" applyAlignment="1">
      <alignment horizontal="left"/>
    </xf>
    <xf numFmtId="0" fontId="3" fillId="2" borderId="2" xfId="49" applyNumberFormat="1" applyFont="1" applyFill="1" applyBorder="1"/>
    <xf numFmtId="0" fontId="3" fillId="2" borderId="2" xfId="49" applyNumberFormat="1" applyFont="1" applyFill="1" applyBorder="1" applyAlignment="1">
      <alignment horizontal="right"/>
    </xf>
    <xf numFmtId="10" fontId="3" fillId="2" borderId="2" xfId="49" applyNumberFormat="1" applyFont="1" applyFill="1" applyBorder="1" applyAlignment="1">
      <alignment horizontal="right"/>
    </xf>
    <xf numFmtId="0" fontId="1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GreyResults" displayName="GreyResults" ref="A9:I41" totalsRowShown="0">
  <autoFilter xmlns:etc="http://www.wps.cn/officeDocument/2017/etCustomData" ref="A9:I41" etc:filterBottomFollowUsedRange="0"/>
  <tableColumns count="9">
    <tableColumn id="1" name="名义灰度"/>
    <tableColumn id="2" name="正确数 /100"/>
    <tableColumn id="3" name="正确率"/>
    <tableColumn id="4" name="错字"/>
    <tableColumn id="5" name="漏字"/>
    <tableColumn id="6" name="多字"/>
    <tableColumn id="7" name="未知符数"/>
    <tableColumn id="8" name="亮度条件"/>
    <tableColumn id="9" name="结果及注意事项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8080"/>
  </sheetPr>
  <dimension ref="A1:I46"/>
  <sheetViews>
    <sheetView showGridLines="0" tabSelected="1" workbookViewId="0">
      <pane ySplit="9" topLeftCell="A32" activePane="bottomLeft" state="frozen"/>
      <selection/>
      <selection pane="bottomLeft" activeCell="H6" sqref="H6:I6"/>
    </sheetView>
  </sheetViews>
  <sheetFormatPr defaultColWidth="9" defaultRowHeight="16.8"/>
  <cols>
    <col min="1" max="1" width="12" customWidth="1"/>
    <col min="2" max="2" width="14" customWidth="1"/>
    <col min="3" max="3" width="13" customWidth="1"/>
    <col min="4" max="6" width="9" customWidth="1"/>
    <col min="7" max="7" width="12" customWidth="1"/>
    <col min="8" max="8" width="20" customWidth="1"/>
    <col min="9" max="9" width="36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ht="30" customHeight="1" spans="1:9">
      <c r="A2" s="2" t="s">
        <v>0</v>
      </c>
      <c r="B2" s="1"/>
      <c r="C2" s="1"/>
      <c r="D2" s="1"/>
      <c r="E2" s="1"/>
      <c r="F2" s="1"/>
      <c r="G2" s="1"/>
      <c r="H2" s="1"/>
      <c r="I2" s="1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ht="24" customHeight="1" spans="1:9">
      <c r="A4" s="1" t="s">
        <v>1</v>
      </c>
      <c r="B4" s="8">
        <f>AVERAGE(C10:C41)</f>
        <v>0.7259375</v>
      </c>
      <c r="C4" s="1" t="s">
        <v>2</v>
      </c>
      <c r="D4" s="9">
        <f>STDEV(C10:C41)*100</f>
        <v>39.4280556530581</v>
      </c>
      <c r="E4" s="1" t="s">
        <v>3</v>
      </c>
      <c r="F4" s="1">
        <f>COUNTA(A10:A41)</f>
        <v>32</v>
      </c>
      <c r="G4" s="1" t="s">
        <v>4</v>
      </c>
      <c r="H4" s="1">
        <f>COUNTIFS(B10:B41,100,F10:F41,0)</f>
        <v>0</v>
      </c>
      <c r="I4" s="1"/>
    </row>
    <row r="5" ht="24" customHeight="1" spans="1:9">
      <c r="A5" s="1" t="s">
        <v>5</v>
      </c>
      <c r="B5" s="1"/>
      <c r="C5" s="1"/>
      <c r="D5" s="1"/>
      <c r="E5" s="1"/>
      <c r="F5" s="1"/>
      <c r="G5" s="1"/>
      <c r="H5" s="1"/>
      <c r="I5" s="1"/>
    </row>
    <row r="6" ht="24" customHeight="1" spans="1:9">
      <c r="A6" s="1" t="s">
        <v>6</v>
      </c>
      <c r="B6" s="1"/>
      <c r="C6" s="1"/>
      <c r="D6" s="1"/>
      <c r="E6" s="1"/>
      <c r="F6" s="1"/>
      <c r="G6" s="1"/>
      <c r="H6" s="1"/>
      <c r="I6" s="1"/>
    </row>
    <row r="7" ht="24" customHeight="1" spans="1:9">
      <c r="A7" s="10" t="s">
        <v>7</v>
      </c>
      <c r="B7" s="1"/>
      <c r="C7" s="1"/>
      <c r="D7" s="1"/>
      <c r="E7" s="1"/>
      <c r="F7" s="1"/>
      <c r="G7" s="1"/>
      <c r="H7" s="1"/>
      <c r="I7" s="1"/>
    </row>
    <row r="8" spans="1:9">
      <c r="A8" s="1"/>
      <c r="B8" s="1"/>
      <c r="C8" s="1"/>
      <c r="D8" s="1"/>
      <c r="E8" s="1"/>
      <c r="F8" s="1"/>
      <c r="G8" s="1"/>
      <c r="H8" s="1"/>
      <c r="I8" s="1"/>
    </row>
    <row r="9" ht="30" customHeight="1" spans="1:9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</row>
    <row r="10" ht="28" customHeight="1" spans="1:9">
      <c r="A10" s="11">
        <v>1</v>
      </c>
      <c r="B10" s="11">
        <v>0</v>
      </c>
      <c r="C10" s="12">
        <f t="shared" ref="C10:C41" si="0">B10/100</f>
        <v>0</v>
      </c>
      <c r="D10" s="11">
        <v>0</v>
      </c>
      <c r="E10" s="11">
        <v>100</v>
      </c>
      <c r="F10" s="11">
        <v>0</v>
      </c>
      <c r="G10" s="11">
        <v>0</v>
      </c>
      <c r="H10" s="13" t="s">
        <v>17</v>
      </c>
      <c r="I10" s="14" t="s">
        <v>18</v>
      </c>
    </row>
    <row r="11" ht="28" customHeight="1" spans="1:9">
      <c r="A11" s="11">
        <v>2</v>
      </c>
      <c r="B11" s="11">
        <v>0</v>
      </c>
      <c r="C11" s="12">
        <f t="shared" si="0"/>
        <v>0</v>
      </c>
      <c r="D11" s="11">
        <v>0</v>
      </c>
      <c r="E11" s="11">
        <v>100</v>
      </c>
      <c r="F11" s="11">
        <v>0</v>
      </c>
      <c r="G11" s="11">
        <v>0</v>
      </c>
      <c r="H11" s="13" t="s">
        <v>17</v>
      </c>
      <c r="I11" s="15" t="s">
        <v>18</v>
      </c>
    </row>
    <row r="12" ht="28" customHeight="1" spans="1:9">
      <c r="A12" s="11">
        <v>3</v>
      </c>
      <c r="B12" s="11">
        <v>0</v>
      </c>
      <c r="C12" s="12">
        <f t="shared" si="0"/>
        <v>0</v>
      </c>
      <c r="D12" s="11">
        <v>0</v>
      </c>
      <c r="E12" s="11">
        <v>100</v>
      </c>
      <c r="F12" s="11">
        <v>0</v>
      </c>
      <c r="G12" s="11">
        <v>0</v>
      </c>
      <c r="H12" s="13" t="s">
        <v>17</v>
      </c>
      <c r="I12" s="15" t="s">
        <v>18</v>
      </c>
    </row>
    <row r="13" ht="28" customHeight="1" spans="1:9">
      <c r="A13" s="11">
        <v>4</v>
      </c>
      <c r="B13" s="11">
        <v>0</v>
      </c>
      <c r="C13" s="12">
        <f t="shared" si="0"/>
        <v>0</v>
      </c>
      <c r="D13" s="11">
        <v>0</v>
      </c>
      <c r="E13" s="11">
        <v>100</v>
      </c>
      <c r="F13" s="11">
        <v>0</v>
      </c>
      <c r="G13" s="11">
        <v>0</v>
      </c>
      <c r="H13" s="13" t="s">
        <v>17</v>
      </c>
      <c r="I13" s="15" t="s">
        <v>18</v>
      </c>
    </row>
    <row r="14" ht="28" customHeight="1" spans="1:9">
      <c r="A14" s="11">
        <v>5</v>
      </c>
      <c r="B14" s="11">
        <v>0</v>
      </c>
      <c r="C14" s="12">
        <f t="shared" si="0"/>
        <v>0</v>
      </c>
      <c r="D14" s="11">
        <v>0</v>
      </c>
      <c r="E14" s="11">
        <v>100</v>
      </c>
      <c r="F14" s="11">
        <v>0</v>
      </c>
      <c r="G14" s="11">
        <v>0</v>
      </c>
      <c r="H14" s="13" t="s">
        <v>17</v>
      </c>
      <c r="I14" s="15" t="s">
        <v>18</v>
      </c>
    </row>
    <row r="15" ht="28" customHeight="1" spans="1:9">
      <c r="A15" s="11">
        <v>6</v>
      </c>
      <c r="B15" s="11">
        <v>0</v>
      </c>
      <c r="C15" s="12">
        <f t="shared" si="0"/>
        <v>0</v>
      </c>
      <c r="D15" s="11">
        <v>0</v>
      </c>
      <c r="E15" s="11">
        <v>100</v>
      </c>
      <c r="F15" s="11">
        <v>0</v>
      </c>
      <c r="G15" s="11">
        <v>0</v>
      </c>
      <c r="H15" s="13" t="s">
        <v>17</v>
      </c>
      <c r="I15" s="15" t="s">
        <v>18</v>
      </c>
    </row>
    <row r="16" ht="28" customHeight="1" spans="1:9">
      <c r="A16" s="11">
        <v>7</v>
      </c>
      <c r="B16" s="11">
        <v>0</v>
      </c>
      <c r="C16" s="12">
        <f t="shared" si="0"/>
        <v>0</v>
      </c>
      <c r="D16" s="11">
        <v>0</v>
      </c>
      <c r="E16" s="11">
        <v>100</v>
      </c>
      <c r="F16" s="11">
        <v>0</v>
      </c>
      <c r="G16" s="11">
        <v>0</v>
      </c>
      <c r="H16" s="13" t="s">
        <v>17</v>
      </c>
      <c r="I16" s="15" t="s">
        <v>18</v>
      </c>
    </row>
    <row r="17" ht="28" customHeight="1" spans="1:9">
      <c r="A17" s="11">
        <v>8</v>
      </c>
      <c r="B17" s="11">
        <v>72</v>
      </c>
      <c r="C17" s="12">
        <f t="shared" si="0"/>
        <v>0.72</v>
      </c>
      <c r="D17" s="11">
        <v>22</v>
      </c>
      <c r="E17" s="11">
        <v>6</v>
      </c>
      <c r="F17" s="11">
        <v>1</v>
      </c>
      <c r="G17" s="11">
        <v>0</v>
      </c>
      <c r="H17" s="13" t="s">
        <v>17</v>
      </c>
      <c r="I17" s="15" t="s">
        <v>19</v>
      </c>
    </row>
    <row r="18" ht="28" customHeight="1" spans="1:9">
      <c r="A18" s="11">
        <v>9</v>
      </c>
      <c r="B18" s="11">
        <v>78</v>
      </c>
      <c r="C18" s="12">
        <f t="shared" si="0"/>
        <v>0.78</v>
      </c>
      <c r="D18" s="11">
        <v>15</v>
      </c>
      <c r="E18" s="11">
        <v>7</v>
      </c>
      <c r="F18" s="11">
        <v>0</v>
      </c>
      <c r="G18" s="11">
        <v>0</v>
      </c>
      <c r="H18" s="13" t="s">
        <v>17</v>
      </c>
      <c r="I18" s="15" t="s">
        <v>19</v>
      </c>
    </row>
    <row r="19" ht="28" customHeight="1" spans="1:9">
      <c r="A19" s="11">
        <v>10</v>
      </c>
      <c r="B19" s="11">
        <v>87</v>
      </c>
      <c r="C19" s="12">
        <f t="shared" si="0"/>
        <v>0.87</v>
      </c>
      <c r="D19" s="11">
        <v>12</v>
      </c>
      <c r="E19" s="11">
        <v>1</v>
      </c>
      <c r="F19" s="11">
        <v>1</v>
      </c>
      <c r="G19" s="11">
        <v>0</v>
      </c>
      <c r="H19" s="13" t="s">
        <v>17</v>
      </c>
      <c r="I19" s="15" t="s">
        <v>19</v>
      </c>
    </row>
    <row r="20" ht="28" customHeight="1" spans="1:9">
      <c r="A20" s="11">
        <v>11</v>
      </c>
      <c r="B20" s="11">
        <v>88</v>
      </c>
      <c r="C20" s="12">
        <f t="shared" si="0"/>
        <v>0.88</v>
      </c>
      <c r="D20" s="11">
        <v>10</v>
      </c>
      <c r="E20" s="11">
        <v>2</v>
      </c>
      <c r="F20" s="11">
        <v>2</v>
      </c>
      <c r="G20" s="11">
        <v>1</v>
      </c>
      <c r="H20" s="13" t="s">
        <v>17</v>
      </c>
      <c r="I20" s="15" t="s">
        <v>19</v>
      </c>
    </row>
    <row r="21" ht="28" customHeight="1" spans="1:9">
      <c r="A21" s="11">
        <v>12</v>
      </c>
      <c r="B21" s="11">
        <v>90</v>
      </c>
      <c r="C21" s="12">
        <f t="shared" si="0"/>
        <v>0.9</v>
      </c>
      <c r="D21" s="11">
        <v>9</v>
      </c>
      <c r="E21" s="11">
        <v>1</v>
      </c>
      <c r="F21" s="11">
        <v>0</v>
      </c>
      <c r="G21" s="11">
        <v>0</v>
      </c>
      <c r="H21" s="13" t="s">
        <v>17</v>
      </c>
      <c r="I21" s="15" t="s">
        <v>19</v>
      </c>
    </row>
    <row r="22" ht="28" customHeight="1" spans="1:9">
      <c r="A22" s="11">
        <v>13</v>
      </c>
      <c r="B22" s="11">
        <v>87</v>
      </c>
      <c r="C22" s="12">
        <f t="shared" si="0"/>
        <v>0.87</v>
      </c>
      <c r="D22" s="11">
        <v>11</v>
      </c>
      <c r="E22" s="11">
        <v>2</v>
      </c>
      <c r="F22" s="11">
        <v>2</v>
      </c>
      <c r="G22" s="11">
        <v>0</v>
      </c>
      <c r="H22" s="13" t="s">
        <v>17</v>
      </c>
      <c r="I22" s="15" t="s">
        <v>19</v>
      </c>
    </row>
    <row r="23" ht="28" customHeight="1" spans="1:9">
      <c r="A23" s="11">
        <v>14</v>
      </c>
      <c r="B23" s="11">
        <v>95</v>
      </c>
      <c r="C23" s="12">
        <f t="shared" si="0"/>
        <v>0.95</v>
      </c>
      <c r="D23" s="11">
        <v>3</v>
      </c>
      <c r="E23" s="11">
        <v>2</v>
      </c>
      <c r="F23" s="11">
        <v>1</v>
      </c>
      <c r="G23" s="11">
        <v>0</v>
      </c>
      <c r="H23" s="13" t="s">
        <v>17</v>
      </c>
      <c r="I23" s="15" t="s">
        <v>19</v>
      </c>
    </row>
    <row r="24" ht="28" customHeight="1" spans="1:9">
      <c r="A24" s="11">
        <v>15</v>
      </c>
      <c r="B24" s="11">
        <v>92</v>
      </c>
      <c r="C24" s="12">
        <f t="shared" si="0"/>
        <v>0.92</v>
      </c>
      <c r="D24" s="11">
        <v>7</v>
      </c>
      <c r="E24" s="11">
        <v>1</v>
      </c>
      <c r="F24" s="11">
        <v>0</v>
      </c>
      <c r="G24" s="11">
        <v>0</v>
      </c>
      <c r="H24" s="13" t="s">
        <v>17</v>
      </c>
      <c r="I24" s="15" t="s">
        <v>19</v>
      </c>
    </row>
    <row r="25" ht="28" customHeight="1" spans="1:9">
      <c r="A25" s="11">
        <v>16</v>
      </c>
      <c r="B25" s="11">
        <v>94</v>
      </c>
      <c r="C25" s="12">
        <f t="shared" si="0"/>
        <v>0.94</v>
      </c>
      <c r="D25" s="11">
        <v>6</v>
      </c>
      <c r="E25" s="11">
        <v>0</v>
      </c>
      <c r="F25" s="11">
        <v>0</v>
      </c>
      <c r="G25" s="11">
        <v>0</v>
      </c>
      <c r="H25" s="13" t="s">
        <v>17</v>
      </c>
      <c r="I25" s="15" t="s">
        <v>19</v>
      </c>
    </row>
    <row r="26" ht="28" customHeight="1" spans="1:9">
      <c r="A26" s="16">
        <v>17</v>
      </c>
      <c r="B26" s="16">
        <v>93</v>
      </c>
      <c r="C26" s="17">
        <f t="shared" si="0"/>
        <v>0.93</v>
      </c>
      <c r="D26" s="16">
        <v>6</v>
      </c>
      <c r="E26" s="16">
        <v>1</v>
      </c>
      <c r="F26" s="16">
        <v>1</v>
      </c>
      <c r="G26" s="16">
        <v>0</v>
      </c>
      <c r="H26" s="18" t="s">
        <v>17</v>
      </c>
      <c r="I26" s="19" t="s">
        <v>19</v>
      </c>
    </row>
    <row r="27" ht="28" customHeight="1" spans="1:9">
      <c r="A27" s="16">
        <v>18</v>
      </c>
      <c r="B27" s="16">
        <v>97</v>
      </c>
      <c r="C27" s="17">
        <f t="shared" si="0"/>
        <v>0.97</v>
      </c>
      <c r="D27" s="16">
        <v>3</v>
      </c>
      <c r="E27" s="16">
        <v>0</v>
      </c>
      <c r="F27" s="16">
        <v>1</v>
      </c>
      <c r="G27" s="16">
        <v>0</v>
      </c>
      <c r="H27" s="18" t="s">
        <v>17</v>
      </c>
      <c r="I27" s="19" t="s">
        <v>19</v>
      </c>
    </row>
    <row r="28" ht="28" customHeight="1" spans="1:9">
      <c r="A28" s="16">
        <v>19</v>
      </c>
      <c r="B28" s="16">
        <v>95</v>
      </c>
      <c r="C28" s="17">
        <f t="shared" si="0"/>
        <v>0.95</v>
      </c>
      <c r="D28" s="16">
        <v>5</v>
      </c>
      <c r="E28" s="16">
        <v>0</v>
      </c>
      <c r="F28" s="16">
        <v>0</v>
      </c>
      <c r="G28" s="16">
        <v>0</v>
      </c>
      <c r="H28" s="18" t="s">
        <v>17</v>
      </c>
      <c r="I28" s="19" t="s">
        <v>19</v>
      </c>
    </row>
    <row r="29" ht="28" customHeight="1" spans="1:9">
      <c r="A29" s="16">
        <v>20</v>
      </c>
      <c r="B29" s="16">
        <v>95</v>
      </c>
      <c r="C29" s="17">
        <f t="shared" si="0"/>
        <v>0.95</v>
      </c>
      <c r="D29" s="16">
        <v>5</v>
      </c>
      <c r="E29" s="16">
        <v>0</v>
      </c>
      <c r="F29" s="16">
        <v>1</v>
      </c>
      <c r="G29" s="16">
        <v>0</v>
      </c>
      <c r="H29" s="18" t="s">
        <v>17</v>
      </c>
      <c r="I29" s="19" t="s">
        <v>19</v>
      </c>
    </row>
    <row r="30" ht="28" customHeight="1" spans="1:9">
      <c r="A30" s="16">
        <v>21</v>
      </c>
      <c r="B30" s="16">
        <v>97</v>
      </c>
      <c r="C30" s="17">
        <f t="shared" si="0"/>
        <v>0.97</v>
      </c>
      <c r="D30" s="16">
        <v>3</v>
      </c>
      <c r="E30" s="16">
        <v>0</v>
      </c>
      <c r="F30" s="16">
        <v>0</v>
      </c>
      <c r="G30" s="16">
        <v>0</v>
      </c>
      <c r="H30" s="18" t="s">
        <v>17</v>
      </c>
      <c r="I30" s="19" t="s">
        <v>19</v>
      </c>
    </row>
    <row r="31" ht="28" customHeight="1" spans="1:9">
      <c r="A31" s="16">
        <v>22</v>
      </c>
      <c r="B31" s="16">
        <v>95</v>
      </c>
      <c r="C31" s="17">
        <f t="shared" si="0"/>
        <v>0.95</v>
      </c>
      <c r="D31" s="16">
        <v>4</v>
      </c>
      <c r="E31" s="16">
        <v>1</v>
      </c>
      <c r="F31" s="16">
        <v>0</v>
      </c>
      <c r="G31" s="16">
        <v>0</v>
      </c>
      <c r="H31" s="18" t="s">
        <v>17</v>
      </c>
      <c r="I31" s="19" t="s">
        <v>19</v>
      </c>
    </row>
    <row r="32" ht="28" customHeight="1" spans="1:9">
      <c r="A32" s="16">
        <v>23</v>
      </c>
      <c r="B32" s="16">
        <v>96</v>
      </c>
      <c r="C32" s="17">
        <f t="shared" si="0"/>
        <v>0.96</v>
      </c>
      <c r="D32" s="16">
        <v>4</v>
      </c>
      <c r="E32" s="16">
        <v>0</v>
      </c>
      <c r="F32" s="16">
        <v>0</v>
      </c>
      <c r="G32" s="16">
        <v>0</v>
      </c>
      <c r="H32" s="18" t="s">
        <v>17</v>
      </c>
      <c r="I32" s="19" t="s">
        <v>19</v>
      </c>
    </row>
    <row r="33" ht="28" customHeight="1" spans="1:9">
      <c r="A33" s="16">
        <v>24</v>
      </c>
      <c r="B33" s="16">
        <v>97</v>
      </c>
      <c r="C33" s="17">
        <f t="shared" si="0"/>
        <v>0.97</v>
      </c>
      <c r="D33" s="16">
        <v>2</v>
      </c>
      <c r="E33" s="16">
        <v>1</v>
      </c>
      <c r="F33" s="16">
        <v>1</v>
      </c>
      <c r="G33" s="16">
        <v>0</v>
      </c>
      <c r="H33" s="18" t="s">
        <v>17</v>
      </c>
      <c r="I33" s="19" t="s">
        <v>19</v>
      </c>
    </row>
    <row r="34" ht="28" customHeight="1" spans="1:9">
      <c r="A34" s="11">
        <v>25</v>
      </c>
      <c r="B34" s="11">
        <v>97</v>
      </c>
      <c r="C34" s="12">
        <f t="shared" si="0"/>
        <v>0.97</v>
      </c>
      <c r="D34" s="11">
        <v>3</v>
      </c>
      <c r="E34" s="11">
        <v>0</v>
      </c>
      <c r="F34" s="11">
        <v>1</v>
      </c>
      <c r="G34" s="11">
        <v>0</v>
      </c>
      <c r="H34" s="13" t="s">
        <v>17</v>
      </c>
      <c r="I34" s="13" t="s">
        <v>19</v>
      </c>
    </row>
    <row r="35" ht="28" customHeight="1" spans="1:9">
      <c r="A35" s="11">
        <v>26</v>
      </c>
      <c r="B35" s="11">
        <v>98</v>
      </c>
      <c r="C35" s="12">
        <f t="shared" si="0"/>
        <v>0.98</v>
      </c>
      <c r="D35" s="11">
        <v>2</v>
      </c>
      <c r="E35" s="11">
        <v>0</v>
      </c>
      <c r="F35" s="11">
        <v>0</v>
      </c>
      <c r="G35" s="11">
        <v>0</v>
      </c>
      <c r="H35" s="13" t="s">
        <v>17</v>
      </c>
      <c r="I35" s="13" t="s">
        <v>19</v>
      </c>
    </row>
    <row r="36" ht="28" customHeight="1" spans="1:9">
      <c r="A36" s="11">
        <v>27</v>
      </c>
      <c r="B36" s="11">
        <v>95</v>
      </c>
      <c r="C36" s="12">
        <f t="shared" si="0"/>
        <v>0.95</v>
      </c>
      <c r="D36" s="11">
        <v>4</v>
      </c>
      <c r="E36" s="11">
        <v>1</v>
      </c>
      <c r="F36" s="11">
        <v>1</v>
      </c>
      <c r="G36" s="11">
        <v>0</v>
      </c>
      <c r="H36" s="13" t="s">
        <v>17</v>
      </c>
      <c r="I36" s="13" t="s">
        <v>19</v>
      </c>
    </row>
    <row r="37" ht="28" customHeight="1" spans="1:9">
      <c r="A37" s="11">
        <v>28</v>
      </c>
      <c r="B37" s="11">
        <v>98</v>
      </c>
      <c r="C37" s="12">
        <f t="shared" si="0"/>
        <v>0.98</v>
      </c>
      <c r="D37" s="11">
        <v>2</v>
      </c>
      <c r="E37" s="11">
        <v>0</v>
      </c>
      <c r="F37" s="11">
        <v>0</v>
      </c>
      <c r="G37" s="11">
        <v>0</v>
      </c>
      <c r="H37" s="13" t="s">
        <v>17</v>
      </c>
      <c r="I37" s="13" t="s">
        <v>19</v>
      </c>
    </row>
    <row r="38" ht="28" customHeight="1" spans="1:9">
      <c r="A38" s="11">
        <v>29</v>
      </c>
      <c r="B38" s="11">
        <v>96</v>
      </c>
      <c r="C38" s="12">
        <f t="shared" si="0"/>
        <v>0.96</v>
      </c>
      <c r="D38" s="11">
        <v>3</v>
      </c>
      <c r="E38" s="11">
        <v>1</v>
      </c>
      <c r="F38" s="11">
        <v>2</v>
      </c>
      <c r="G38" s="11">
        <v>0</v>
      </c>
      <c r="H38" s="13" t="s">
        <v>17</v>
      </c>
      <c r="I38" s="13" t="s">
        <v>19</v>
      </c>
    </row>
    <row r="39" ht="28" customHeight="1" spans="1:9">
      <c r="A39" s="11">
        <v>30</v>
      </c>
      <c r="B39" s="11">
        <v>97</v>
      </c>
      <c r="C39" s="12">
        <f t="shared" si="0"/>
        <v>0.97</v>
      </c>
      <c r="D39" s="11">
        <v>3</v>
      </c>
      <c r="E39" s="11">
        <v>0</v>
      </c>
      <c r="F39" s="11">
        <v>1</v>
      </c>
      <c r="G39" s="11">
        <v>0</v>
      </c>
      <c r="H39" s="13" t="s">
        <v>17</v>
      </c>
      <c r="I39" s="13" t="s">
        <v>19</v>
      </c>
    </row>
    <row r="40" ht="28" customHeight="1" spans="1:9">
      <c r="A40" s="11">
        <v>31</v>
      </c>
      <c r="B40" s="11">
        <v>97</v>
      </c>
      <c r="C40" s="12">
        <f t="shared" si="0"/>
        <v>0.97</v>
      </c>
      <c r="D40" s="11">
        <v>2</v>
      </c>
      <c r="E40" s="11">
        <v>1</v>
      </c>
      <c r="F40" s="11">
        <v>0</v>
      </c>
      <c r="G40" s="11">
        <v>0</v>
      </c>
      <c r="H40" s="13" t="s">
        <v>17</v>
      </c>
      <c r="I40" s="13" t="s">
        <v>19</v>
      </c>
    </row>
    <row r="41" ht="28" customHeight="1" spans="1:9">
      <c r="A41" s="11">
        <v>32</v>
      </c>
      <c r="B41" s="11">
        <v>97</v>
      </c>
      <c r="C41" s="12">
        <f t="shared" si="0"/>
        <v>0.97</v>
      </c>
      <c r="D41" s="11">
        <v>2</v>
      </c>
      <c r="E41" s="11">
        <v>1</v>
      </c>
      <c r="F41" s="11">
        <v>0</v>
      </c>
      <c r="G41" s="11">
        <v>0</v>
      </c>
      <c r="H41" s="13" t="s">
        <v>17</v>
      </c>
      <c r="I41" s="13" t="s">
        <v>19</v>
      </c>
    </row>
    <row r="43" ht="30" customHeight="1" spans="1:9">
      <c r="A43" s="20" t="s">
        <v>20</v>
      </c>
      <c r="B43" s="21">
        <f>SUM(B10:B41)</f>
        <v>2323</v>
      </c>
      <c r="C43" s="22">
        <f>B43/3200</f>
        <v>0.7259375</v>
      </c>
      <c r="D43" s="21">
        <f>SUM(D10:D41)</f>
        <v>148</v>
      </c>
      <c r="E43" s="21">
        <f>SUM(E10:E41)</f>
        <v>729</v>
      </c>
      <c r="F43" s="21">
        <f>SUM(F10:F41)</f>
        <v>16</v>
      </c>
      <c r="G43" s="21">
        <f>SUM(G10:G41)</f>
        <v>1</v>
      </c>
      <c r="H43" s="21"/>
      <c r="I43" s="20" t="s">
        <v>21</v>
      </c>
    </row>
    <row r="45" ht="24" customHeight="1" spans="1:9">
      <c r="A45" s="23" t="s">
        <v>22</v>
      </c>
      <c r="B45" s="23"/>
      <c r="C45" s="23"/>
      <c r="D45" s="23"/>
      <c r="E45" s="23"/>
      <c r="F45" s="23"/>
      <c r="G45" s="23"/>
      <c r="H45" s="23"/>
      <c r="I45" s="23"/>
    </row>
    <row r="46" ht="24" customHeight="1" spans="1:9">
      <c r="A46" s="23" t="s">
        <v>23</v>
      </c>
      <c r="B46" s="23"/>
      <c r="C46" s="23"/>
      <c r="D46" s="23"/>
      <c r="E46" s="23"/>
      <c r="F46" s="23"/>
      <c r="G46" s="23"/>
      <c r="H46" s="23"/>
      <c r="I46" s="23"/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8080"/>
  </sheetPr>
  <dimension ref="A1:C40"/>
  <sheetViews>
    <sheetView showGridLines="0" workbookViewId="0">
      <pane ySplit="8" topLeftCell="A9" activePane="bottomLeft" state="frozen"/>
      <selection/>
      <selection pane="bottomLeft" activeCell="A1" sqref="A1"/>
    </sheetView>
  </sheetViews>
  <sheetFormatPr defaultColWidth="9" defaultRowHeight="16.8" outlineLevelCol="2"/>
  <cols>
    <col min="1" max="1" width="12" customWidth="1"/>
    <col min="2" max="2" width="100" customWidth="1"/>
    <col min="3" max="3" width="36" customWidth="1"/>
  </cols>
  <sheetData>
    <row r="1" spans="1:3">
      <c r="A1" s="1"/>
      <c r="B1" s="1"/>
      <c r="C1" s="1"/>
    </row>
    <row r="2" ht="30" customHeight="1" spans="1:3">
      <c r="A2" s="2" t="s">
        <v>24</v>
      </c>
      <c r="B2" s="1"/>
      <c r="C2" s="1"/>
    </row>
    <row r="3" spans="1:3">
      <c r="A3" s="1" t="s">
        <v>25</v>
      </c>
      <c r="B3" s="1"/>
      <c r="C3" s="1"/>
    </row>
    <row r="4" spans="1:3">
      <c r="A4" s="1"/>
      <c r="B4" s="1"/>
      <c r="C4" s="1"/>
    </row>
    <row r="5" ht="105" customHeight="1" spans="1:3">
      <c r="A5" s="1" t="s">
        <v>26</v>
      </c>
      <c r="B5" s="3" t="s">
        <v>27</v>
      </c>
      <c r="C5" s="1"/>
    </row>
    <row r="6" spans="1:3">
      <c r="A6" s="1"/>
      <c r="B6" s="1"/>
      <c r="C6" s="1"/>
    </row>
    <row r="7" spans="1:3">
      <c r="A7" s="1" t="s">
        <v>28</v>
      </c>
      <c r="B7" s="1"/>
      <c r="C7" s="1"/>
    </row>
    <row r="8" ht="30" customHeight="1" spans="1:3">
      <c r="A8" s="4" t="s">
        <v>8</v>
      </c>
      <c r="B8" s="4" t="s">
        <v>29</v>
      </c>
      <c r="C8" s="4" t="s">
        <v>30</v>
      </c>
    </row>
    <row r="9" ht="38" customHeight="1" spans="1:3">
      <c r="A9" s="5">
        <v>1</v>
      </c>
      <c r="B9" s="6" t="s">
        <v>31</v>
      </c>
      <c r="C9" s="7" t="s">
        <v>32</v>
      </c>
    </row>
    <row r="10" ht="38" customHeight="1" spans="1:3">
      <c r="A10" s="5">
        <v>2</v>
      </c>
      <c r="B10" s="6" t="s">
        <v>31</v>
      </c>
      <c r="C10" s="7" t="s">
        <v>33</v>
      </c>
    </row>
    <row r="11" ht="38" customHeight="1" spans="1:3">
      <c r="A11" s="5">
        <v>3</v>
      </c>
      <c r="B11" s="6" t="s">
        <v>31</v>
      </c>
      <c r="C11" s="7" t="s">
        <v>34</v>
      </c>
    </row>
    <row r="12" ht="38" customHeight="1" spans="1:3">
      <c r="A12" s="5">
        <v>4</v>
      </c>
      <c r="B12" s="6" t="s">
        <v>31</v>
      </c>
      <c r="C12" s="7" t="s">
        <v>35</v>
      </c>
    </row>
    <row r="13" ht="38" customHeight="1" spans="1:3">
      <c r="A13" s="5">
        <v>5</v>
      </c>
      <c r="B13" s="6" t="s">
        <v>31</v>
      </c>
      <c r="C13" s="7" t="s">
        <v>36</v>
      </c>
    </row>
    <row r="14" ht="38" customHeight="1" spans="1:3">
      <c r="A14" s="5">
        <v>6</v>
      </c>
      <c r="B14" s="6" t="s">
        <v>31</v>
      </c>
      <c r="C14" s="7" t="s">
        <v>37</v>
      </c>
    </row>
    <row r="15" ht="38" customHeight="1" spans="1:3">
      <c r="A15" s="5">
        <v>7</v>
      </c>
      <c r="B15" s="6" t="s">
        <v>31</v>
      </c>
      <c r="C15" s="7" t="s">
        <v>38</v>
      </c>
    </row>
    <row r="16" ht="115" customHeight="1" spans="1:3">
      <c r="A16" s="5">
        <v>8</v>
      </c>
      <c r="B16" s="6" t="s">
        <v>39</v>
      </c>
      <c r="C16" s="7" t="s">
        <v>40</v>
      </c>
    </row>
    <row r="17" ht="115" customHeight="1" spans="1:3">
      <c r="A17" s="5">
        <v>9</v>
      </c>
      <c r="B17" s="6" t="s">
        <v>41</v>
      </c>
      <c r="C17" s="7" t="s">
        <v>42</v>
      </c>
    </row>
    <row r="18" ht="115" customHeight="1" spans="1:3">
      <c r="A18" s="5">
        <v>10</v>
      </c>
      <c r="B18" s="6" t="s">
        <v>43</v>
      </c>
      <c r="C18" s="7" t="s">
        <v>44</v>
      </c>
    </row>
    <row r="19" ht="115" customHeight="1" spans="1:3">
      <c r="A19" s="5">
        <v>11</v>
      </c>
      <c r="B19" s="6" t="s">
        <v>45</v>
      </c>
      <c r="C19" s="7" t="s">
        <v>46</v>
      </c>
    </row>
    <row r="20" ht="115" customHeight="1" spans="1:3">
      <c r="A20" s="5">
        <v>12</v>
      </c>
      <c r="B20" s="6" t="s">
        <v>47</v>
      </c>
      <c r="C20" s="7" t="s">
        <v>48</v>
      </c>
    </row>
    <row r="21" ht="115" customHeight="1" spans="1:3">
      <c r="A21" s="5">
        <v>13</v>
      </c>
      <c r="B21" s="6" t="s">
        <v>49</v>
      </c>
      <c r="C21" s="7" t="s">
        <v>50</v>
      </c>
    </row>
    <row r="22" ht="115" customHeight="1" spans="1:3">
      <c r="A22" s="5">
        <v>14</v>
      </c>
      <c r="B22" s="6" t="s">
        <v>51</v>
      </c>
      <c r="C22" s="7" t="s">
        <v>52</v>
      </c>
    </row>
    <row r="23" ht="115" customHeight="1" spans="1:3">
      <c r="A23" s="5">
        <v>15</v>
      </c>
      <c r="B23" s="6" t="s">
        <v>53</v>
      </c>
      <c r="C23" s="7" t="s">
        <v>54</v>
      </c>
    </row>
    <row r="24" ht="115" customHeight="1" spans="1:3">
      <c r="A24" s="5">
        <v>16</v>
      </c>
      <c r="B24" s="6" t="s">
        <v>55</v>
      </c>
      <c r="C24" s="7" t="s">
        <v>56</v>
      </c>
    </row>
    <row r="25" ht="115" customHeight="1" spans="1:3">
      <c r="A25" s="5">
        <v>17</v>
      </c>
      <c r="B25" s="6" t="s">
        <v>57</v>
      </c>
      <c r="C25" s="7" t="s">
        <v>58</v>
      </c>
    </row>
    <row r="26" ht="115" customHeight="1" spans="1:3">
      <c r="A26" s="5">
        <v>18</v>
      </c>
      <c r="B26" s="6" t="s">
        <v>59</v>
      </c>
      <c r="C26" s="7" t="s">
        <v>60</v>
      </c>
    </row>
    <row r="27" ht="115" customHeight="1" spans="1:3">
      <c r="A27" s="5">
        <v>19</v>
      </c>
      <c r="B27" s="6" t="s">
        <v>61</v>
      </c>
      <c r="C27" s="7" t="s">
        <v>62</v>
      </c>
    </row>
    <row r="28" ht="115" customHeight="1" spans="1:3">
      <c r="A28" s="5">
        <v>20</v>
      </c>
      <c r="B28" s="6" t="s">
        <v>63</v>
      </c>
      <c r="C28" s="7" t="s">
        <v>64</v>
      </c>
    </row>
    <row r="29" ht="115" customHeight="1" spans="1:3">
      <c r="A29" s="5">
        <v>21</v>
      </c>
      <c r="B29" s="6" t="s">
        <v>65</v>
      </c>
      <c r="C29" s="7" t="s">
        <v>66</v>
      </c>
    </row>
    <row r="30" ht="115" customHeight="1" spans="1:3">
      <c r="A30" s="5">
        <v>22</v>
      </c>
      <c r="B30" s="6" t="s">
        <v>67</v>
      </c>
      <c r="C30" s="7" t="s">
        <v>68</v>
      </c>
    </row>
    <row r="31" ht="115" customHeight="1" spans="1:3">
      <c r="A31" s="5">
        <v>23</v>
      </c>
      <c r="B31" s="6" t="s">
        <v>69</v>
      </c>
      <c r="C31" s="7" t="s">
        <v>70</v>
      </c>
    </row>
    <row r="32" ht="115" customHeight="1" spans="1:3">
      <c r="A32" s="5">
        <v>24</v>
      </c>
      <c r="B32" s="6" t="s">
        <v>71</v>
      </c>
      <c r="C32" s="7" t="s">
        <v>72</v>
      </c>
    </row>
    <row r="33" ht="115" customHeight="1" spans="1:3">
      <c r="A33" s="5">
        <v>25</v>
      </c>
      <c r="B33" s="6" t="s">
        <v>73</v>
      </c>
      <c r="C33" s="7" t="s">
        <v>74</v>
      </c>
    </row>
    <row r="34" ht="115" customHeight="1" spans="1:3">
      <c r="A34" s="5">
        <v>26</v>
      </c>
      <c r="B34" s="6" t="s">
        <v>75</v>
      </c>
      <c r="C34" s="7" t="s">
        <v>76</v>
      </c>
    </row>
    <row r="35" ht="115" customHeight="1" spans="1:3">
      <c r="A35" s="5">
        <v>27</v>
      </c>
      <c r="B35" s="6" t="s">
        <v>77</v>
      </c>
      <c r="C35" s="7" t="s">
        <v>78</v>
      </c>
    </row>
    <row r="36" ht="115" customHeight="1" spans="1:3">
      <c r="A36" s="5">
        <v>28</v>
      </c>
      <c r="B36" s="6" t="s">
        <v>75</v>
      </c>
      <c r="C36" s="7" t="s">
        <v>79</v>
      </c>
    </row>
    <row r="37" ht="115" customHeight="1" spans="1:3">
      <c r="A37" s="5">
        <v>29</v>
      </c>
      <c r="B37" s="6" t="s">
        <v>80</v>
      </c>
      <c r="C37" s="7" t="s">
        <v>81</v>
      </c>
    </row>
    <row r="38" ht="115" customHeight="1" spans="1:3">
      <c r="A38" s="5">
        <v>30</v>
      </c>
      <c r="B38" s="6" t="s">
        <v>82</v>
      </c>
      <c r="C38" s="7" t="s">
        <v>83</v>
      </c>
    </row>
    <row r="39" ht="115" customHeight="1" spans="1:3">
      <c r="A39" s="5">
        <v>31</v>
      </c>
      <c r="B39" s="6" t="s">
        <v>84</v>
      </c>
      <c r="C39" s="7" t="s">
        <v>85</v>
      </c>
    </row>
    <row r="40" ht="115" customHeight="1" spans="1:3">
      <c r="A40" s="5">
        <v>32</v>
      </c>
      <c r="B40" s="6" t="s">
        <v>86</v>
      </c>
      <c r="C40" s="7" t="s">
        <v>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实验结果</vt:lpstr>
      <vt:lpstr>完整回复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杨宇泽</cp:lastModifiedBy>
  <dcterms:created xsi:type="dcterms:W3CDTF">2026-10-27T04:06:00Z</dcterms:created>
  <dcterms:modified xsi:type="dcterms:W3CDTF">2026-10-26T20:21:49Z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82D302C3B17E60A39542DF6A4C84DB3F_42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