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74bbd0f3da4e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实验结果" sheetId="1" r:id="R3762a9df8cb548f8"/>
    <x:sheet xmlns:r="http://schemas.openxmlformats.org/officeDocument/2006/relationships" name="完整回复" sheetId="2" r:id="R999b83165aab43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0"/>
    <x:numFmt numFmtId="202" formatCode="0.0%"/>
  </x:numFmts>
  <x:fonts count="7">
    <x:font>
      <x:sz val="11"/>
      <x:name val="Carlito"/>
    </x:font>
    <x:font>
      <x:sz val="11"/>
      <x:color rgb="FF000000"/>
      <x:name val="Arial"/>
    </x:font>
    <x:font>
      <x:sz val="11"/>
      <x:color rgb="FF000000"/>
      <x:name val="Arial"/>
    </x:font>
    <x:font>
      <x:b/>
      <x:sz val="11"/>
      <x:color rgb="FF000000"/>
      <x:name val="Arial"/>
    </x:font>
    <x:font>
      <x:b/>
      <x:sz val="14"/>
      <x:color rgb="FF000000"/>
      <x:name val="Arial"/>
    </x:font>
    <x:font>
      <x:b/>
      <x:sz val="12"/>
      <x:color rgb="FF000000"/>
      <x:name val="Arial"/>
    </x:font>
    <x:font>
      <x:sz val="11"/>
      <x:color rgb="FF0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FEFEF"/>
      </x:patternFill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C8C8C8"/>
      </x:left>
      <x:right style="thin">
        <x:color rgb="FFC8C8C8"/>
      </x:right>
      <x:top style="thin">
        <x:color rgb="FFC8C8C8"/>
      </x:top>
      <x:bottom style="thin">
        <x:color rgb="FFC8C8C8"/>
      </x:bottom>
      <x:diagonal/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right" vertical="center"/>
    </x:xf>
    <x:xf numFmtId="0" fontId="2" fillId="2" borderId="1" xfId="0" applyNumberFormat="1" applyFont="1" applyFill="1" applyBorder="1" applyAlignment="1">
      <x:alignment horizontal="left" vertical="center"/>
    </x:xf>
    <x:xf numFmtId="202" fontId="2" fillId="2" borderId="1" xfId="0" applyNumberFormat="1" applyFont="1" applyFill="1" applyBorder="1" applyAlignment="1">
      <x:alignment horizontal="right" vertical="center"/>
    </x:xf>
    <x:xf numFmtId="202" fontId="2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2" borderId="0" xfId="0" applyNumberFormat="1" applyFont="1" applyFill="1" applyBorder="1"/>
    <x:xf numFmtId="0" fontId="3" fillId="2" borderId="0" xfId="0" applyNumberFormat="1" applyFont="1" applyFill="1" applyBorder="1"/>
    <x:xf numFmtId="200" fontId="3" fillId="2" borderId="0" xfId="0" applyNumberFormat="1" applyFont="1" applyFill="1" applyBorder="1"/>
    <x:xf numFmtId="0" fontId="3" fillId="2" borderId="1" xfId="0" applyNumberFormat="1" applyFont="1" applyFill="1" applyBorder="1"/>
    <x:xf numFmtId="200" fontId="3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daeef9bb1e47ff" /><Relationship Type="http://schemas.openxmlformats.org/officeDocument/2006/relationships/theme" Target="/xl/theme/theme1.xml" Id="Recbd085148cd41de" /><Relationship Type="http://schemas.openxmlformats.org/officeDocument/2006/relationships/sharedStrings" Target="/xl/sharedStrings.xml" Id="Rc2ea2f7c73da4d9f" /><Relationship Type="http://schemas.openxmlformats.org/officeDocument/2006/relationships/worksheet" Target="/xl/worksheets/sheet1.xml" Id="R3762a9df8cb548f8" /><Relationship Type="http://schemas.openxmlformats.org/officeDocument/2006/relationships/worksheet" Target="/xl/worksheets/sheet2.xml" Id="R999b83165aab43b0" /></Relationships>
</file>

<file path=xl/tables/table1.xml><?xml version="1.0" encoding="utf-8"?>
<x:table xmlns:x="http://schemas.openxmlformats.org/spreadsheetml/2006/main" id="1" name="ReadabilityResults" displayName="ReadabilityResults" ref="A9:M169" headerRowCount="1" totalsRowCount="0" totalsRowShown="0">
  <x:autoFilter ref="A9:M169"/>
  <x:tableColumns count="13">
    <x:tableColumn id="1" name="条件ID"/>
    <x:tableColumn id="2" name="正确数 /100"/>
    <x:tableColumn id="3" name="正确率"/>
    <x:tableColumn id="4" name="错字"/>
    <x:tableColumn id="5" name="漏字"/>
    <x:tableColumn id="6" name="多字"/>
    <x:tableColumn id="7" name="未知符数"/>
    <x:tableColumn id="8" name="亮度条件"/>
    <x:tableColumn id="9" name="结果及注意事项"/>
    <x:tableColumn id="10" name="字号(px)"/>
    <x:tableColumn id="11" name="灰度差Δg"/>
    <x:tableColumn id="12" name="轮次"/>
    <x:tableColumn id="13" name="CE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2b54eec4df491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3" hidden="0" customWidth="1"/>
    <x:col min="4" max="4" width="9" hidden="0" customWidth="1"/>
    <x:col min="5" max="5" width="9" hidden="0" customWidth="1"/>
    <x:col min="6" max="6" width="9" hidden="0" customWidth="1"/>
    <x:col min="7" max="7" width="12" hidden="0" customWidth="1"/>
    <x:col min="8" max="8" width="20" hidden="0" customWidth="1"/>
    <x:col min="9" max="9" width="22" hidden="0" customWidth="1"/>
    <x:col min="10" max="10" width="12" hidden="0" customWidth="1"/>
    <x:col min="11" max="11" width="12" hidden="0" customWidth="1"/>
    <x:col min="12" max="12" width="10" hidden="0" customWidth="1"/>
    <x:col min="13" max="13" width="12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0" customHeight="1">
      <x:c r="A2" s="23" t="str">
        <x:v>实验二：不同字号与灰度差屏幕转写（第01轮）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O2" t="str">
        <x:v>字号×灰度差比较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O3" t="str">
        <x:v>48px为历史3轮均值；其他字号为本轮单次结果。</x:v>
      </x:c>
    </x:row>
    <x:row r="4">
      <x:c r="A4" s="1" t="str">
        <x:v>平均正确率</x:v>
      </x:c>
      <x:c r="B4" s="2" t="n">
        <x:f>AVERAGE(C10:C169)</x:f>
        <x:v>0.3577499999999999</x:v>
      </x:c>
      <x:c r="C4" s="1" t="str">
        <x:v>跨条件SD</x:v>
      </x:c>
      <x:c r="D4" s="3" t="n">
        <x:f>STDEV(C10:C169)*100</x:f>
        <x:v>43.82109856273898</x:v>
      </x:c>
      <x:c r="E4" s="1" t="str">
        <x:v>图片数</x:v>
      </x:c>
      <x:c r="F4" s="1" t="n">
        <x:f>COUNTA(A10:A169)</x:f>
        <x:v>160</x:v>
      </x:c>
      <x:c r="G4" s="1" t="str">
        <x:v>满分试次</x:v>
      </x:c>
      <x:c r="H4" s="1" t="n">
        <x:f>COUNTIFS(B10:B169,100,F10:F169,0)</x:f>
        <x:v>0</x:v>
      </x:c>
      <x:c r="I4" s="1"/>
      <x:c r="J4" s="1"/>
      <x:c r="K4" s="1"/>
      <x:c r="L4" s="1"/>
      <x:c r="M4" s="1"/>
      <x:c r="O4" t="str">
        <x:v>新字号无重复测量SD；待测不按0分处理。g1位置存在历史差异。</x:v>
      </x:c>
    </x:row>
    <x:row r="5" ht="24" customHeight="1">
      <x:c r="A5" s="1" t="str">
        <x:v>2026-10-27　每档1次　每图100个目标字符　黑底，100字符，5字号×32灰度，各1次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24" customHeight="1">
      <x:c r="A6" s="1" t="str">
        <x:v>标准差仅描述跨字号×灰度条件差异，不代表重复测量误差。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</x:row>
    <x:row r="7" ht="24" customHeight="1">
      <x:c r="A7" s="1" t="str">
        <x:v>黑底；固定手动最大亮度255；每个字号×灰度条件保留1条正式结果。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</x:row>
    <x:row r="9" ht="30" customHeight="1">
      <x:c r="A9" s="22" t="str">
        <x:v>条件ID</x:v>
      </x:c>
      <x:c r="B9" s="22" t="str">
        <x:v>正确数 /100</x:v>
      </x:c>
      <x:c r="C9" s="22" t="str">
        <x:v>正确率</x:v>
      </x:c>
      <x:c r="D9" s="22" t="str">
        <x:v>错字</x:v>
      </x:c>
      <x:c r="E9" s="22" t="str">
        <x:v>漏字</x:v>
      </x:c>
      <x:c r="F9" s="22" t="str">
        <x:v>多字</x:v>
      </x:c>
      <x:c r="G9" s="22" t="str">
        <x:v>未知符数</x:v>
      </x:c>
      <x:c r="H9" s="22" t="str">
        <x:v>亮度条件</x:v>
      </x:c>
      <x:c r="I9" s="22" t="str">
        <x:v>结果及注意事项</x:v>
      </x:c>
      <x:c r="J9" s="22" t="str">
        <x:v>字号(px)</x:v>
      </x:c>
      <x:c r="K9" s="22" t="str">
        <x:v>灰度差Δg</x:v>
      </x:c>
      <x:c r="L9" s="22" t="str">
        <x:v>轮次</x:v>
      </x:c>
      <x:c r="M9" s="22" t="str">
        <x:v>CER</x:v>
      </x:c>
      <x:c r="O9" s="22" t="str">
        <x:v>Δg</x:v>
      </x:c>
      <x:c r="P9" s="22" t="str">
        <x:v>16px (n=1)</x:v>
      </x:c>
      <x:c r="Q9" s="22" t="str">
        <x:v>24px (n=1)</x:v>
      </x:c>
      <x:c r="R9" s="22" t="str">
        <x:v>32px (n=1)</x:v>
      </x:c>
      <x:c r="S9" s="22" t="str">
        <x:v>40px (n=1)</x:v>
      </x:c>
      <x:c r="T9" s="22" t="str">
        <x:v>48px (n=3)</x:v>
      </x:c>
      <x:c r="U9" s="22" t="str">
        <x:v>64px (n=1)</x:v>
      </x:c>
    </x:row>
    <x:row r="10" ht="28" customHeight="1">
      <x:c r="A10" s="10" t="str">
        <x:v>px16-g01</x:v>
      </x:c>
      <x:c r="B10" s="10" t="n">
        <x:v>0</x:v>
      </x:c>
      <x:c r="C10" s="12" t="n">
        <x:f>B10/100</x:f>
        <x:v>0</x:v>
      </x:c>
      <x:c r="D10" s="10" t="n">
        <x:v>0</x:v>
      </x:c>
      <x:c r="E10" s="10" t="n">
        <x:v>100</x:v>
      </x:c>
      <x:c r="F10" s="10" t="n">
        <x:v>0</x:v>
      </x:c>
      <x:c r="G10" s="10" t="n">
        <x:v>0</x:v>
      </x:c>
      <x:c r="H10" s="11" t="str">
        <x:v>最大亮度</x:v>
      </x:c>
      <x:c r="I10" s="11" t="str">
        <x:v>不可读</x:v>
      </x:c>
      <x:c r="J10" s="9" t="n">
        <x:v>16</x:v>
      </x:c>
      <x:c r="K10" s="9" t="n">
        <x:v>1</x:v>
      </x:c>
      <x:c r="L10" s="9" t="n">
        <x:v>1</x:v>
      </x:c>
      <x:c r="M10" s="13" t="n">
        <x:f>(D10+E10+F10)/100</x:f>
        <x:v>1</x:v>
      </x:c>
      <x:c r="O10" s="9" t="n">
        <x:v>1</x:v>
      </x:c>
      <x:c r="P10" s="13" t="n">
        <x:f>IF(COUNTIFS($J$10:$J$169,16,$K$10:$K$169,$O10)=0,"待测",AVERAGEIFS($C$10:$C$169,$J$10:$J$169,16,$K$10:$K$169,$O10))</x:f>
        <x:v>0</x:v>
      </x:c>
      <x:c r="Q10" s="13" t="n">
        <x:f>IF(COUNTIFS($J$10:$J$169,24,$K$10:$K$169,$O10)=0,"待测",AVERAGEIFS($C$10:$C$169,$J$10:$J$169,24,$K$10:$K$169,$O10))</x:f>
        <x:v>0</x:v>
      </x:c>
      <x:c r="R10" s="13" t="n">
        <x:f>IF(COUNTIFS($J$10:$J$169,32,$K$10:$K$169,$O10)=0,"待测",AVERAGEIFS($C$10:$C$169,$J$10:$J$169,32,$K$10:$K$169,$O10))</x:f>
        <x:v>0</x:v>
      </x:c>
      <x:c r="S10" s="13" t="n">
        <x:f>IF(COUNTIFS($J$10:$J$169,40,$K$10:$K$169,$O10)=0,"待测",AVERAGEIFS($C$10:$C$169,$J$10:$J$169,40,$K$10:$K$169,$O10))</x:f>
        <x:v>0</x:v>
      </x:c>
      <x:c r="T10" s="13" t="n">
        <x:f>AVERAGEIFS('完整回复'!$I$9:$I$104,'完整回复'!$F$9:$F$104,$O10)</x:f>
        <x:v>0</x:v>
      </x:c>
      <x:c r="U10" s="13" t="n">
        <x:f>IF(COUNTIFS($J$10:$J$169,64,$K$10:$K$169,$O10)=0,"待测",AVERAGEIFS($C$10:$C$169,$J$10:$J$169,64,$K$10:$K$169,$O10))</x:f>
        <x:v>0</x:v>
      </x:c>
    </x:row>
    <x:row r="11" ht="28" customHeight="1">
      <x:c r="A11" s="10" t="str">
        <x:v>px16-g02</x:v>
      </x:c>
      <x:c r="B11" s="10" t="n">
        <x:v>0</x:v>
      </x:c>
      <x:c r="C11" s="12" t="n">
        <x:f>B11/100</x:f>
        <x:v>0</x:v>
      </x:c>
      <x:c r="D11" s="10" t="n">
        <x:v>0</x:v>
      </x:c>
      <x:c r="E11" s="10" t="n">
        <x:v>100</x:v>
      </x:c>
      <x:c r="F11" s="10" t="n">
        <x:v>0</x:v>
      </x:c>
      <x:c r="G11" s="10" t="n">
        <x:v>0</x:v>
      </x:c>
      <x:c r="H11" s="11" t="str">
        <x:v>最大亮度</x:v>
      </x:c>
      <x:c r="I11" s="11" t="str">
        <x:v>不可读</x:v>
      </x:c>
      <x:c r="J11" s="9" t="n">
        <x:v>16</x:v>
      </x:c>
      <x:c r="K11" s="9" t="n">
        <x:v>2</x:v>
      </x:c>
      <x:c r="L11" s="9" t="n">
        <x:v>1</x:v>
      </x:c>
      <x:c r="M11" s="13" t="n">
        <x:f>(D11+E11+F11)/100</x:f>
        <x:v>1</x:v>
      </x:c>
      <x:c r="O11" s="9" t="n">
        <x:v>2</x:v>
      </x:c>
      <x:c r="P11" s="13" t="n">
        <x:f>IF(COUNTIFS($J$10:$J$169,16,$K$10:$K$169,$O11)=0,"待测",AVERAGEIFS($C$10:$C$169,$J$10:$J$169,16,$K$10:$K$169,$O11))</x:f>
        <x:v>0</x:v>
      </x:c>
      <x:c r="Q11" s="13" t="n">
        <x:f>IF(COUNTIFS($J$10:$J$169,24,$K$10:$K$169,$O11)=0,"待测",AVERAGEIFS($C$10:$C$169,$J$10:$J$169,24,$K$10:$K$169,$O11))</x:f>
        <x:v>0</x:v>
      </x:c>
      <x:c r="R11" s="13" t="n">
        <x:f>IF(COUNTIFS($J$10:$J$169,32,$K$10:$K$169,$O11)=0,"待测",AVERAGEIFS($C$10:$C$169,$J$10:$J$169,32,$K$10:$K$169,$O11))</x:f>
        <x:v>0</x:v>
      </x:c>
      <x:c r="S11" s="13" t="n">
        <x:f>IF(COUNTIFS($J$10:$J$169,40,$K$10:$K$169,$O11)=0,"待测",AVERAGEIFS($C$10:$C$169,$J$10:$J$169,40,$K$10:$K$169,$O11))</x:f>
        <x:v>0</x:v>
      </x:c>
      <x:c r="T11" s="13" t="n">
        <x:f>AVERAGEIFS('完整回复'!$I$9:$I$104,'完整回复'!$F$9:$F$104,$O11)</x:f>
        <x:v>0</x:v>
      </x:c>
      <x:c r="U11" s="13" t="n">
        <x:f>IF(COUNTIFS($J$10:$J$169,64,$K$10:$K$169,$O11)=0,"待测",AVERAGEIFS($C$10:$C$169,$J$10:$J$169,64,$K$10:$K$169,$O11))</x:f>
        <x:v>0</x:v>
      </x:c>
    </x:row>
    <x:row r="12" ht="28" customHeight="1">
      <x:c r="A12" s="10" t="str">
        <x:v>px16-g03</x:v>
      </x:c>
      <x:c r="B12" s="10" t="n">
        <x:v>0</x:v>
      </x:c>
      <x:c r="C12" s="12" t="n">
        <x:f>B12/100</x:f>
        <x:v>0</x:v>
      </x:c>
      <x:c r="D12" s="10" t="n">
        <x:v>0</x:v>
      </x:c>
      <x:c r="E12" s="10" t="n">
        <x:v>100</x:v>
      </x:c>
      <x:c r="F12" s="10" t="n">
        <x:v>0</x:v>
      </x:c>
      <x:c r="G12" s="10" t="n">
        <x:v>0</x:v>
      </x:c>
      <x:c r="H12" s="11" t="str">
        <x:v>最大亮度</x:v>
      </x:c>
      <x:c r="I12" s="11" t="str">
        <x:v>不可读</x:v>
      </x:c>
      <x:c r="J12" s="9" t="n">
        <x:v>16</x:v>
      </x:c>
      <x:c r="K12" s="9" t="n">
        <x:v>3</x:v>
      </x:c>
      <x:c r="L12" s="9" t="n">
        <x:v>1</x:v>
      </x:c>
      <x:c r="M12" s="13" t="n">
        <x:f>(D12+E12+F12)/100</x:f>
        <x:v>1</x:v>
      </x:c>
      <x:c r="O12" s="9" t="n">
        <x:v>3</x:v>
      </x:c>
      <x:c r="P12" s="13" t="n">
        <x:f>IF(COUNTIFS($J$10:$J$169,16,$K$10:$K$169,$O12)=0,"待测",AVERAGEIFS($C$10:$C$169,$J$10:$J$169,16,$K$10:$K$169,$O12))</x:f>
        <x:v>0</x:v>
      </x:c>
      <x:c r="Q12" s="13" t="n">
        <x:f>IF(COUNTIFS($J$10:$J$169,24,$K$10:$K$169,$O12)=0,"待测",AVERAGEIFS($C$10:$C$169,$J$10:$J$169,24,$K$10:$K$169,$O12))</x:f>
        <x:v>0</x:v>
      </x:c>
      <x:c r="R12" s="13" t="n">
        <x:f>IF(COUNTIFS($J$10:$J$169,32,$K$10:$K$169,$O12)=0,"待测",AVERAGEIFS($C$10:$C$169,$J$10:$J$169,32,$K$10:$K$169,$O12))</x:f>
        <x:v>0</x:v>
      </x:c>
      <x:c r="S12" s="13" t="n">
        <x:f>IF(COUNTIFS($J$10:$J$169,40,$K$10:$K$169,$O12)=0,"待测",AVERAGEIFS($C$10:$C$169,$J$10:$J$169,40,$K$10:$K$169,$O12))</x:f>
        <x:v>0</x:v>
      </x:c>
      <x:c r="T12" s="13" t="n">
        <x:f>AVERAGEIFS('完整回复'!$I$9:$I$104,'完整回复'!$F$9:$F$104,$O12)</x:f>
        <x:v>0</x:v>
      </x:c>
      <x:c r="U12" s="13" t="n">
        <x:f>IF(COUNTIFS($J$10:$J$169,64,$K$10:$K$169,$O12)=0,"待测",AVERAGEIFS($C$10:$C$169,$J$10:$J$169,64,$K$10:$K$169,$O12))</x:f>
        <x:v>0</x:v>
      </x:c>
    </x:row>
    <x:row r="13" ht="28" customHeight="1">
      <x:c r="A13" s="10" t="str">
        <x:v>px16-g04</x:v>
      </x:c>
      <x:c r="B13" s="10" t="n">
        <x:v>0</x:v>
      </x:c>
      <x:c r="C13" s="12" t="n">
        <x:f>B13/100</x:f>
        <x:v>0</x:v>
      </x:c>
      <x:c r="D13" s="10" t="n">
        <x:v>0</x:v>
      </x:c>
      <x:c r="E13" s="10" t="n">
        <x:v>100</x:v>
      </x:c>
      <x:c r="F13" s="10" t="n">
        <x:v>0</x:v>
      </x:c>
      <x:c r="G13" s="10" t="n">
        <x:v>0</x:v>
      </x:c>
      <x:c r="H13" s="11" t="str">
        <x:v>最大亮度</x:v>
      </x:c>
      <x:c r="I13" s="11" t="str">
        <x:v>不可读</x:v>
      </x:c>
      <x:c r="J13" s="9" t="n">
        <x:v>16</x:v>
      </x:c>
      <x:c r="K13" s="9" t="n">
        <x:v>4</x:v>
      </x:c>
      <x:c r="L13" s="9" t="n">
        <x:v>1</x:v>
      </x:c>
      <x:c r="M13" s="13" t="n">
        <x:f>(D13+E13+F13)/100</x:f>
        <x:v>1</x:v>
      </x:c>
      <x:c r="O13" s="9" t="n">
        <x:v>4</x:v>
      </x:c>
      <x:c r="P13" s="13" t="n">
        <x:f>IF(COUNTIFS($J$10:$J$169,16,$K$10:$K$169,$O13)=0,"待测",AVERAGEIFS($C$10:$C$169,$J$10:$J$169,16,$K$10:$K$169,$O13))</x:f>
        <x:v>0</x:v>
      </x:c>
      <x:c r="Q13" s="13" t="n">
        <x:f>IF(COUNTIFS($J$10:$J$169,24,$K$10:$K$169,$O13)=0,"待测",AVERAGEIFS($C$10:$C$169,$J$10:$J$169,24,$K$10:$K$169,$O13))</x:f>
        <x:v>0</x:v>
      </x:c>
      <x:c r="R13" s="13" t="n">
        <x:f>IF(COUNTIFS($J$10:$J$169,32,$K$10:$K$169,$O13)=0,"待测",AVERAGEIFS($C$10:$C$169,$J$10:$J$169,32,$K$10:$K$169,$O13))</x:f>
        <x:v>0</x:v>
      </x:c>
      <x:c r="S13" s="13" t="n">
        <x:f>IF(COUNTIFS($J$10:$J$169,40,$K$10:$K$169,$O13)=0,"待测",AVERAGEIFS($C$10:$C$169,$J$10:$J$169,40,$K$10:$K$169,$O13))</x:f>
        <x:v>0</x:v>
      </x:c>
      <x:c r="T13" s="13" t="n">
        <x:f>AVERAGEIFS('完整回复'!$I$9:$I$104,'完整回复'!$F$9:$F$104,$O13)</x:f>
        <x:v>0</x:v>
      </x:c>
      <x:c r="U13" s="13" t="n">
        <x:f>IF(COUNTIFS($J$10:$J$169,64,$K$10:$K$169,$O13)=0,"待测",AVERAGEIFS($C$10:$C$169,$J$10:$J$169,64,$K$10:$K$169,$O13))</x:f>
        <x:v>0</x:v>
      </x:c>
    </x:row>
    <x:row r="14" ht="28" customHeight="1">
      <x:c r="A14" s="10" t="str">
        <x:v>px16-g05</x:v>
      </x:c>
      <x:c r="B14" s="10" t="n">
        <x:v>0</x:v>
      </x:c>
      <x:c r="C14" s="12" t="n">
        <x:f>B14/100</x:f>
        <x:v>0</x:v>
      </x:c>
      <x:c r="D14" s="10" t="n">
        <x:v>0</x:v>
      </x:c>
      <x:c r="E14" s="10" t="n">
        <x:v>100</x:v>
      </x:c>
      <x:c r="F14" s="10" t="n">
        <x:v>0</x:v>
      </x:c>
      <x:c r="G14" s="10" t="n">
        <x:v>0</x:v>
      </x:c>
      <x:c r="H14" s="11" t="str">
        <x:v>最大亮度</x:v>
      </x:c>
      <x:c r="I14" s="11" t="str">
        <x:v>不可读</x:v>
      </x:c>
      <x:c r="J14" s="9" t="n">
        <x:v>16</x:v>
      </x:c>
      <x:c r="K14" s="9" t="n">
        <x:v>5</x:v>
      </x:c>
      <x:c r="L14" s="9" t="n">
        <x:v>1</x:v>
      </x:c>
      <x:c r="M14" s="13" t="n">
        <x:f>(D14+E14+F14)/100</x:f>
        <x:v>1</x:v>
      </x:c>
      <x:c r="O14" s="9" t="n">
        <x:v>5</x:v>
      </x:c>
      <x:c r="P14" s="13" t="n">
        <x:f>IF(COUNTIFS($J$10:$J$169,16,$K$10:$K$169,$O14)=0,"待测",AVERAGEIFS($C$10:$C$169,$J$10:$J$169,16,$K$10:$K$169,$O14))</x:f>
        <x:v>0</x:v>
      </x:c>
      <x:c r="Q14" s="13" t="n">
        <x:f>IF(COUNTIFS($J$10:$J$169,24,$K$10:$K$169,$O14)=0,"待测",AVERAGEIFS($C$10:$C$169,$J$10:$J$169,24,$K$10:$K$169,$O14))</x:f>
        <x:v>0</x:v>
      </x:c>
      <x:c r="R14" s="13" t="n">
        <x:f>IF(COUNTIFS($J$10:$J$169,32,$K$10:$K$169,$O14)=0,"待测",AVERAGEIFS($C$10:$C$169,$J$10:$J$169,32,$K$10:$K$169,$O14))</x:f>
        <x:v>0</x:v>
      </x:c>
      <x:c r="S14" s="13" t="n">
        <x:f>IF(COUNTIFS($J$10:$J$169,40,$K$10:$K$169,$O14)=0,"待测",AVERAGEIFS($C$10:$C$169,$J$10:$J$169,40,$K$10:$K$169,$O14))</x:f>
        <x:v>0</x:v>
      </x:c>
      <x:c r="T14" s="13" t="n">
        <x:f>AVERAGEIFS('完整回复'!$I$9:$I$104,'完整回复'!$F$9:$F$104,$O14)</x:f>
        <x:v>0</x:v>
      </x:c>
      <x:c r="U14" s="13" t="n">
        <x:f>IF(COUNTIFS($J$10:$J$169,64,$K$10:$K$169,$O14)=0,"待测",AVERAGEIFS($C$10:$C$169,$J$10:$J$169,64,$K$10:$K$169,$O14))</x:f>
        <x:v>0.73</x:v>
      </x:c>
    </x:row>
    <x:row r="15" ht="28" customHeight="1">
      <x:c r="A15" s="10" t="str">
        <x:v>px16-g06</x:v>
      </x:c>
      <x:c r="B15" s="10" t="n">
        <x:v>0</x:v>
      </x:c>
      <x:c r="C15" s="12" t="n">
        <x:f>B15/100</x:f>
        <x:v>0</x:v>
      </x:c>
      <x:c r="D15" s="10" t="n">
        <x:v>0</x:v>
      </x:c>
      <x:c r="E15" s="10" t="n">
        <x:v>100</x:v>
      </x:c>
      <x:c r="F15" s="10" t="n">
        <x:v>0</x:v>
      </x:c>
      <x:c r="G15" s="10" t="n">
        <x:v>0</x:v>
      </x:c>
      <x:c r="H15" s="11" t="str">
        <x:v>最大亮度</x:v>
      </x:c>
      <x:c r="I15" s="11" t="str">
        <x:v>不可读</x:v>
      </x:c>
      <x:c r="J15" s="9" t="n">
        <x:v>16</x:v>
      </x:c>
      <x:c r="K15" s="9" t="n">
        <x:v>6</x:v>
      </x:c>
      <x:c r="L15" s="9" t="n">
        <x:v>1</x:v>
      </x:c>
      <x:c r="M15" s="13" t="n">
        <x:f>(D15+E15+F15)/100</x:f>
        <x:v>1</x:v>
      </x:c>
      <x:c r="O15" s="9" t="n">
        <x:v>6</x:v>
      </x:c>
      <x:c r="P15" s="13" t="n">
        <x:f>IF(COUNTIFS($J$10:$J$169,16,$K$10:$K$169,$O15)=0,"待测",AVERAGEIFS($C$10:$C$169,$J$10:$J$169,16,$K$10:$K$169,$O15))</x:f>
        <x:v>0</x:v>
      </x:c>
      <x:c r="Q15" s="13" t="n">
        <x:f>IF(COUNTIFS($J$10:$J$169,24,$K$10:$K$169,$O15)=0,"待测",AVERAGEIFS($C$10:$C$169,$J$10:$J$169,24,$K$10:$K$169,$O15))</x:f>
        <x:v>0</x:v>
      </x:c>
      <x:c r="R15" s="13" t="n">
        <x:f>IF(COUNTIFS($J$10:$J$169,32,$K$10:$K$169,$O15)=0,"待测",AVERAGEIFS($C$10:$C$169,$J$10:$J$169,32,$K$10:$K$169,$O15))</x:f>
        <x:v>0</x:v>
      </x:c>
      <x:c r="S15" s="13" t="n">
        <x:f>IF(COUNTIFS($J$10:$J$169,40,$K$10:$K$169,$O15)=0,"待测",AVERAGEIFS($C$10:$C$169,$J$10:$J$169,40,$K$10:$K$169,$O15))</x:f>
        <x:v>0</x:v>
      </x:c>
      <x:c r="T15" s="13" t="n">
        <x:f>AVERAGEIFS('完整回复'!$I$9:$I$104,'完整回复'!$F$9:$F$104,$O15)</x:f>
        <x:v>0.19333333333333336</x:v>
      </x:c>
      <x:c r="U15" s="13" t="n">
        <x:f>IF(COUNTIFS($J$10:$J$169,64,$K$10:$K$169,$O15)=0,"待测",AVERAGEIFS($C$10:$C$169,$J$10:$J$169,64,$K$10:$K$169,$O15))</x:f>
        <x:v>0.86</x:v>
      </x:c>
    </x:row>
    <x:row r="16" ht="28" customHeight="1">
      <x:c r="A16" s="10" t="str">
        <x:v>px16-g07</x:v>
      </x:c>
      <x:c r="B16" s="10" t="n">
        <x:v>0</x:v>
      </x:c>
      <x:c r="C16" s="12" t="n">
        <x:f>B16/100</x:f>
        <x:v>0</x:v>
      </x:c>
      <x:c r="D16" s="10" t="n">
        <x:v>0</x:v>
      </x:c>
      <x:c r="E16" s="10" t="n">
        <x:v>100</x:v>
      </x:c>
      <x:c r="F16" s="10" t="n">
        <x:v>0</x:v>
      </x:c>
      <x:c r="G16" s="10" t="n">
        <x:v>0</x:v>
      </x:c>
      <x:c r="H16" s="11" t="str">
        <x:v>最大亮度</x:v>
      </x:c>
      <x:c r="I16" s="11" t="str">
        <x:v>不可读</x:v>
      </x:c>
      <x:c r="J16" s="9" t="n">
        <x:v>16</x:v>
      </x:c>
      <x:c r="K16" s="9" t="n">
        <x:v>7</x:v>
      </x:c>
      <x:c r="L16" s="9" t="n">
        <x:v>1</x:v>
      </x:c>
      <x:c r="M16" s="13" t="n">
        <x:f>(D16+E16+F16)/100</x:f>
        <x:v>1</x:v>
      </x:c>
      <x:c r="O16" s="9" t="n">
        <x:v>7</x:v>
      </x:c>
      <x:c r="P16" s="13" t="n">
        <x:f>IF(COUNTIFS($J$10:$J$169,16,$K$10:$K$169,$O16)=0,"待测",AVERAGEIFS($C$10:$C$169,$J$10:$J$169,16,$K$10:$K$169,$O16))</x:f>
        <x:v>0</x:v>
      </x:c>
      <x:c r="Q16" s="13" t="n">
        <x:f>IF(COUNTIFS($J$10:$J$169,24,$K$10:$K$169,$O16)=0,"待测",AVERAGEIFS($C$10:$C$169,$J$10:$J$169,24,$K$10:$K$169,$O16))</x:f>
        <x:v>0</x:v>
      </x:c>
      <x:c r="R16" s="13" t="n">
        <x:f>IF(COUNTIFS($J$10:$J$169,32,$K$10:$K$169,$O16)=0,"待测",AVERAGEIFS($C$10:$C$169,$J$10:$J$169,32,$K$10:$K$169,$O16))</x:f>
        <x:v>0</x:v>
      </x:c>
      <x:c r="S16" s="13" t="n">
        <x:f>IF(COUNTIFS($J$10:$J$169,40,$K$10:$K$169,$O16)=0,"待测",AVERAGEIFS($C$10:$C$169,$J$10:$J$169,40,$K$10:$K$169,$O16))</x:f>
        <x:v>0</x:v>
      </x:c>
      <x:c r="T16" s="13" t="n">
        <x:f>AVERAGEIFS('完整回复'!$I$9:$I$104,'完整回复'!$F$9:$F$104,$O16)</x:f>
        <x:v>0.21333333333333335</x:v>
      </x:c>
      <x:c r="U16" s="13" t="n">
        <x:f>IF(COUNTIFS($J$10:$J$169,64,$K$10:$K$169,$O16)=0,"待测",AVERAGEIFS($C$10:$C$169,$J$10:$J$169,64,$K$10:$K$169,$O16))</x:f>
        <x:v>0.89</x:v>
      </x:c>
    </x:row>
    <x:row r="17" ht="28" customHeight="1">
      <x:c r="A17" s="10" t="str">
        <x:v>px16-g08</x:v>
      </x:c>
      <x:c r="B17" s="10" t="n">
        <x:v>0</x:v>
      </x:c>
      <x:c r="C17" s="12" t="n">
        <x:f>B17/100</x:f>
        <x:v>0</x:v>
      </x:c>
      <x:c r="D17" s="10" t="n">
        <x:v>0</x:v>
      </x:c>
      <x:c r="E17" s="10" t="n">
        <x:v>100</x:v>
      </x:c>
      <x:c r="F17" s="10" t="n">
        <x:v>0</x:v>
      </x:c>
      <x:c r="G17" s="10" t="n">
        <x:v>0</x:v>
      </x:c>
      <x:c r="H17" s="11" t="str">
        <x:v>最大亮度</x:v>
      </x:c>
      <x:c r="I17" s="11" t="str">
        <x:v>不可读</x:v>
      </x:c>
      <x:c r="J17" s="9" t="n">
        <x:v>16</x:v>
      </x:c>
      <x:c r="K17" s="9" t="n">
        <x:v>8</x:v>
      </x:c>
      <x:c r="L17" s="9" t="n">
        <x:v>1</x:v>
      </x:c>
      <x:c r="M17" s="13" t="n">
        <x:f>(D17+E17+F17)/100</x:f>
        <x:v>1</x:v>
      </x:c>
      <x:c r="O17" s="9" t="n">
        <x:v>8</x:v>
      </x:c>
      <x:c r="P17" s="13" t="n">
        <x:f>IF(COUNTIFS($J$10:$J$169,16,$K$10:$K$169,$O17)=0,"待测",AVERAGEIFS($C$10:$C$169,$J$10:$J$169,16,$K$10:$K$169,$O17))</x:f>
        <x:v>0</x:v>
      </x:c>
      <x:c r="Q17" s="13" t="n">
        <x:f>IF(COUNTIFS($J$10:$J$169,24,$K$10:$K$169,$O17)=0,"待测",AVERAGEIFS($C$10:$C$169,$J$10:$J$169,24,$K$10:$K$169,$O17))</x:f>
        <x:v>0</x:v>
      </x:c>
      <x:c r="R17" s="13" t="n">
        <x:f>IF(COUNTIFS($J$10:$J$169,32,$K$10:$K$169,$O17)=0,"待测",AVERAGEIFS($C$10:$C$169,$J$10:$J$169,32,$K$10:$K$169,$O17))</x:f>
        <x:v>0</x:v>
      </x:c>
      <x:c r="S17" s="13" t="n">
        <x:f>IF(COUNTIFS($J$10:$J$169,40,$K$10:$K$169,$O17)=0,"待测",AVERAGEIFS($C$10:$C$169,$J$10:$J$169,40,$K$10:$K$169,$O17))</x:f>
        <x:v>0</x:v>
      </x:c>
      <x:c r="T17" s="13" t="n">
        <x:f>AVERAGEIFS('完整回复'!$I$9:$I$104,'完整回复'!$F$9:$F$104,$O17)</x:f>
        <x:v>0.7366666666666667</x:v>
      </x:c>
      <x:c r="U17" s="13" t="n">
        <x:f>IF(COUNTIFS($J$10:$J$169,64,$K$10:$K$169,$O17)=0,"待测",AVERAGEIFS($C$10:$C$169,$J$10:$J$169,64,$K$10:$K$169,$O17))</x:f>
        <x:v>0.91</x:v>
      </x:c>
    </x:row>
    <x:row r="18" ht="28" customHeight="1">
      <x:c r="A18" s="10" t="str">
        <x:v>px16-g09</x:v>
      </x:c>
      <x:c r="B18" s="10" t="n">
        <x:v>0</x:v>
      </x:c>
      <x:c r="C18" s="12" t="n">
        <x:f>B18/100</x:f>
        <x:v>0</x:v>
      </x:c>
      <x:c r="D18" s="10" t="n">
        <x:v>0</x:v>
      </x:c>
      <x:c r="E18" s="10" t="n">
        <x:v>100</x:v>
      </x:c>
      <x:c r="F18" s="10" t="n">
        <x:v>0</x:v>
      </x:c>
      <x:c r="G18" s="10" t="n">
        <x:v>0</x:v>
      </x:c>
      <x:c r="H18" s="11" t="str">
        <x:v>最大亮度</x:v>
      </x:c>
      <x:c r="I18" s="11" t="str">
        <x:v>不可读</x:v>
      </x:c>
      <x:c r="J18" s="9" t="n">
        <x:v>16</x:v>
      </x:c>
      <x:c r="K18" s="9" t="n">
        <x:v>9</x:v>
      </x:c>
      <x:c r="L18" s="9" t="n">
        <x:v>1</x:v>
      </x:c>
      <x:c r="M18" s="13" t="n">
        <x:f>(D18+E18+F18)/100</x:f>
        <x:v>1</x:v>
      </x:c>
      <x:c r="O18" s="9" t="n">
        <x:v>9</x:v>
      </x:c>
      <x:c r="P18" s="13" t="n">
        <x:f>IF(COUNTIFS($J$10:$J$169,16,$K$10:$K$169,$O18)=0,"待测",AVERAGEIFS($C$10:$C$169,$J$10:$J$169,16,$K$10:$K$169,$O18))</x:f>
        <x:v>0</x:v>
      </x:c>
      <x:c r="Q18" s="13" t="n">
        <x:f>IF(COUNTIFS($J$10:$J$169,24,$K$10:$K$169,$O18)=0,"待测",AVERAGEIFS($C$10:$C$169,$J$10:$J$169,24,$K$10:$K$169,$O18))</x:f>
        <x:v>0</x:v>
      </x:c>
      <x:c r="R18" s="13" t="n">
        <x:f>IF(COUNTIFS($J$10:$J$169,32,$K$10:$K$169,$O18)=0,"待测",AVERAGEIFS($C$10:$C$169,$J$10:$J$169,32,$K$10:$K$169,$O18))</x:f>
        <x:v>0</x:v>
      </x:c>
      <x:c r="S18" s="13" t="n">
        <x:f>IF(COUNTIFS($J$10:$J$169,40,$K$10:$K$169,$O18)=0,"待测",AVERAGEIFS($C$10:$C$169,$J$10:$J$169,40,$K$10:$K$169,$O18))</x:f>
        <x:v>0</x:v>
      </x:c>
      <x:c r="T18" s="13" t="n">
        <x:f>AVERAGEIFS('完整回复'!$I$9:$I$104,'完整回复'!$F$9:$F$104,$O18)</x:f>
        <x:v>0.7366666666666667</x:v>
      </x:c>
      <x:c r="U18" s="13" t="n">
        <x:f>IF(COUNTIFS($J$10:$J$169,64,$K$10:$K$169,$O18)=0,"待测",AVERAGEIFS($C$10:$C$169,$J$10:$J$169,64,$K$10:$K$169,$O18))</x:f>
        <x:v>0.85</x:v>
      </x:c>
    </x:row>
    <x:row r="19" ht="28" customHeight="1">
      <x:c r="A19" s="10" t="str">
        <x:v>px16-g10</x:v>
      </x:c>
      <x:c r="B19" s="10" t="n">
        <x:v>0</x:v>
      </x:c>
      <x:c r="C19" s="12" t="n">
        <x:f>B19/100</x:f>
        <x:v>0</x:v>
      </x:c>
      <x:c r="D19" s="10" t="n">
        <x:v>0</x:v>
      </x:c>
      <x:c r="E19" s="10" t="n">
        <x:v>100</x:v>
      </x:c>
      <x:c r="F19" s="10" t="n">
        <x:v>0</x:v>
      </x:c>
      <x:c r="G19" s="10" t="n">
        <x:v>0</x:v>
      </x:c>
      <x:c r="H19" s="11" t="str">
        <x:v>最大亮度</x:v>
      </x:c>
      <x:c r="I19" s="11" t="str">
        <x:v>不可读</x:v>
      </x:c>
      <x:c r="J19" s="9" t="n">
        <x:v>16</x:v>
      </x:c>
      <x:c r="K19" s="9" t="n">
        <x:v>10</x:v>
      </x:c>
      <x:c r="L19" s="9" t="n">
        <x:v>1</x:v>
      </x:c>
      <x:c r="M19" s="13" t="n">
        <x:f>(D19+E19+F19)/100</x:f>
        <x:v>1</x:v>
      </x:c>
      <x:c r="O19" s="9" t="n">
        <x:v>10</x:v>
      </x:c>
      <x:c r="P19" s="13" t="n">
        <x:f>IF(COUNTIFS($J$10:$J$169,16,$K$10:$K$169,$O19)=0,"待测",AVERAGEIFS($C$10:$C$169,$J$10:$J$169,16,$K$10:$K$169,$O19))</x:f>
        <x:v>0</x:v>
      </x:c>
      <x:c r="Q19" s="13" t="n">
        <x:f>IF(COUNTIFS($J$10:$J$169,24,$K$10:$K$169,$O19)=0,"待测",AVERAGEIFS($C$10:$C$169,$J$10:$J$169,24,$K$10:$K$169,$O19))</x:f>
        <x:v>0</x:v>
      </x:c>
      <x:c r="R19" s="13" t="n">
        <x:f>IF(COUNTIFS($J$10:$J$169,32,$K$10:$K$169,$O19)=0,"待测",AVERAGEIFS($C$10:$C$169,$J$10:$J$169,32,$K$10:$K$169,$O19))</x:f>
        <x:v>0</x:v>
      </x:c>
      <x:c r="S19" s="13" t="n">
        <x:f>IF(COUNTIFS($J$10:$J$169,40,$K$10:$K$169,$O19)=0,"待测",AVERAGEIFS($C$10:$C$169,$J$10:$J$169,40,$K$10:$K$169,$O19))</x:f>
        <x:v>0.54</x:v>
      </x:c>
      <x:c r="T19" s="13" t="n">
        <x:f>AVERAGEIFS('完整回复'!$I$9:$I$104,'完整回复'!$F$9:$F$104,$O19)</x:f>
        <x:v>0.8433333333333334</x:v>
      </x:c>
      <x:c r="U19" s="13" t="n">
        <x:f>IF(COUNTIFS($J$10:$J$169,64,$K$10:$K$169,$O19)=0,"待测",AVERAGEIFS($C$10:$C$169,$J$10:$J$169,64,$K$10:$K$169,$O19))</x:f>
        <x:v>0.92</x:v>
      </x:c>
    </x:row>
    <x:row r="20" ht="28" customHeight="1">
      <x:c r="A20" s="10" t="str">
        <x:v>px16-g11</x:v>
      </x:c>
      <x:c r="B20" s="10" t="n">
        <x:v>0</x:v>
      </x:c>
      <x:c r="C20" s="12" t="n">
        <x:f>B20/100</x:f>
        <x:v>0</x:v>
      </x:c>
      <x:c r="D20" s="10" t="n">
        <x:v>0</x:v>
      </x:c>
      <x:c r="E20" s="10" t="n">
        <x:v>100</x:v>
      </x:c>
      <x:c r="F20" s="10" t="n">
        <x:v>0</x:v>
      </x:c>
      <x:c r="G20" s="10" t="n">
        <x:v>0</x:v>
      </x:c>
      <x:c r="H20" s="11" t="str">
        <x:v>最大亮度</x:v>
      </x:c>
      <x:c r="I20" s="11" t="str">
        <x:v>不可读</x:v>
      </x:c>
      <x:c r="J20" s="9" t="n">
        <x:v>16</x:v>
      </x:c>
      <x:c r="K20" s="9" t="n">
        <x:v>11</x:v>
      </x:c>
      <x:c r="L20" s="9" t="n">
        <x:v>1</x:v>
      </x:c>
      <x:c r="M20" s="13" t="n">
        <x:f>(D20+E20+F20)/100</x:f>
        <x:v>1</x:v>
      </x:c>
      <x:c r="O20" s="9" t="n">
        <x:v>11</x:v>
      </x:c>
      <x:c r="P20" s="13" t="n">
        <x:f>IF(COUNTIFS($J$10:$J$169,16,$K$10:$K$169,$O20)=0,"待测",AVERAGEIFS($C$10:$C$169,$J$10:$J$169,16,$K$10:$K$169,$O20))</x:f>
        <x:v>0</x:v>
      </x:c>
      <x:c r="Q20" s="13" t="n">
        <x:f>IF(COUNTIFS($J$10:$J$169,24,$K$10:$K$169,$O20)=0,"待测",AVERAGEIFS($C$10:$C$169,$J$10:$J$169,24,$K$10:$K$169,$O20))</x:f>
        <x:v>0</x:v>
      </x:c>
      <x:c r="R20" s="13" t="n">
        <x:f>IF(COUNTIFS($J$10:$J$169,32,$K$10:$K$169,$O20)=0,"待测",AVERAGEIFS($C$10:$C$169,$J$10:$J$169,32,$K$10:$K$169,$O20))</x:f>
        <x:v>0</x:v>
      </x:c>
      <x:c r="S20" s="13" t="n">
        <x:f>IF(COUNTIFS($J$10:$J$169,40,$K$10:$K$169,$O20)=0,"待测",AVERAGEIFS($C$10:$C$169,$J$10:$J$169,40,$K$10:$K$169,$O20))</x:f>
        <x:v>0.65</x:v>
      </x:c>
      <x:c r="T20" s="13" t="n">
        <x:f>AVERAGEIFS('完整回复'!$I$9:$I$104,'完整回复'!$F$9:$F$104,$O20)</x:f>
        <x:v>0.9033333333333333</x:v>
      </x:c>
      <x:c r="U20" s="13" t="n">
        <x:f>IF(COUNTIFS($J$10:$J$169,64,$K$10:$K$169,$O20)=0,"待测",AVERAGEIFS($C$10:$C$169,$J$10:$J$169,64,$K$10:$K$169,$O20))</x:f>
        <x:v>0.97</x:v>
      </x:c>
    </x:row>
    <x:row r="21" ht="28" customHeight="1">
      <x:c r="A21" s="10" t="str">
        <x:v>px16-g12</x:v>
      </x:c>
      <x:c r="B21" s="10" t="n">
        <x:v>0</x:v>
      </x:c>
      <x:c r="C21" s="12" t="n">
        <x:f>B21/100</x:f>
        <x:v>0</x:v>
      </x:c>
      <x:c r="D21" s="10" t="n">
        <x:v>0</x:v>
      </x:c>
      <x:c r="E21" s="10" t="n">
        <x:v>100</x:v>
      </x:c>
      <x:c r="F21" s="10" t="n">
        <x:v>0</x:v>
      </x:c>
      <x:c r="G21" s="10" t="n">
        <x:v>0</x:v>
      </x:c>
      <x:c r="H21" s="11" t="str">
        <x:v>最大亮度</x:v>
      </x:c>
      <x:c r="I21" s="11" t="str">
        <x:v>不可读</x:v>
      </x:c>
      <x:c r="J21" s="9" t="n">
        <x:v>16</x:v>
      </x:c>
      <x:c r="K21" s="9" t="n">
        <x:v>12</x:v>
      </x:c>
      <x:c r="L21" s="9" t="n">
        <x:v>1</x:v>
      </x:c>
      <x:c r="M21" s="13" t="n">
        <x:f>(D21+E21+F21)/100</x:f>
        <x:v>1</x:v>
      </x:c>
      <x:c r="O21" s="9" t="n">
        <x:v>12</x:v>
      </x:c>
      <x:c r="P21" s="13" t="n">
        <x:f>IF(COUNTIFS($J$10:$J$169,16,$K$10:$K$169,$O21)=0,"待测",AVERAGEIFS($C$10:$C$169,$J$10:$J$169,16,$K$10:$K$169,$O21))</x:f>
        <x:v>0</x:v>
      </x:c>
      <x:c r="Q21" s="13" t="n">
        <x:f>IF(COUNTIFS($J$10:$J$169,24,$K$10:$K$169,$O21)=0,"待测",AVERAGEIFS($C$10:$C$169,$J$10:$J$169,24,$K$10:$K$169,$O21))</x:f>
        <x:v>0</x:v>
      </x:c>
      <x:c r="R21" s="13" t="n">
        <x:f>IF(COUNTIFS($J$10:$J$169,32,$K$10:$K$169,$O21)=0,"待测",AVERAGEIFS($C$10:$C$169,$J$10:$J$169,32,$K$10:$K$169,$O21))</x:f>
        <x:v>0</x:v>
      </x:c>
      <x:c r="S21" s="13" t="n">
        <x:f>IF(COUNTIFS($J$10:$J$169,40,$K$10:$K$169,$O21)=0,"待测",AVERAGEIFS($C$10:$C$169,$J$10:$J$169,40,$K$10:$K$169,$O21))</x:f>
        <x:v>0.71</x:v>
      </x:c>
      <x:c r="T21" s="13" t="n">
        <x:f>AVERAGEIFS('完整回复'!$I$9:$I$104,'完整回复'!$F$9:$F$104,$O21)</x:f>
        <x:v>0.9</x:v>
      </x:c>
      <x:c r="U21" s="13" t="n">
        <x:f>IF(COUNTIFS($J$10:$J$169,64,$K$10:$K$169,$O21)=0,"待测",AVERAGEIFS($C$10:$C$169,$J$10:$J$169,64,$K$10:$K$169,$O21))</x:f>
        <x:v>0.95</x:v>
      </x:c>
    </x:row>
    <x:row r="22" ht="28" customHeight="1">
      <x:c r="A22" s="10" t="str">
        <x:v>px16-g13</x:v>
      </x:c>
      <x:c r="B22" s="10" t="n">
        <x:v>0</x:v>
      </x:c>
      <x:c r="C22" s="12" t="n">
        <x:f>B22/100</x:f>
        <x:v>0</x:v>
      </x:c>
      <x:c r="D22" s="10" t="n">
        <x:v>0</x:v>
      </x:c>
      <x:c r="E22" s="10" t="n">
        <x:v>100</x:v>
      </x:c>
      <x:c r="F22" s="10" t="n">
        <x:v>0</x:v>
      </x:c>
      <x:c r="G22" s="10" t="n">
        <x:v>0</x:v>
      </x:c>
      <x:c r="H22" s="11" t="str">
        <x:v>最大亮度</x:v>
      </x:c>
      <x:c r="I22" s="11" t="str">
        <x:v>不可读</x:v>
      </x:c>
      <x:c r="J22" s="9" t="n">
        <x:v>16</x:v>
      </x:c>
      <x:c r="K22" s="9" t="n">
        <x:v>13</x:v>
      </x:c>
      <x:c r="L22" s="9" t="n">
        <x:v>1</x:v>
      </x:c>
      <x:c r="M22" s="13" t="n">
        <x:f>(D22+E22+F22)/100</x:f>
        <x:v>1</x:v>
      </x:c>
      <x:c r="O22" s="9" t="n">
        <x:v>13</x:v>
      </x:c>
      <x:c r="P22" s="13" t="n">
        <x:f>IF(COUNTIFS($J$10:$J$169,16,$K$10:$K$169,$O22)=0,"待测",AVERAGEIFS($C$10:$C$169,$J$10:$J$169,16,$K$10:$K$169,$O22))</x:f>
        <x:v>0</x:v>
      </x:c>
      <x:c r="Q22" s="13" t="n">
        <x:f>IF(COUNTIFS($J$10:$J$169,24,$K$10:$K$169,$O22)=0,"待测",AVERAGEIFS($C$10:$C$169,$J$10:$J$169,24,$K$10:$K$169,$O22))</x:f>
        <x:v>0</x:v>
      </x:c>
      <x:c r="R22" s="13" t="n">
        <x:f>IF(COUNTIFS($J$10:$J$169,32,$K$10:$K$169,$O22)=0,"待测",AVERAGEIFS($C$10:$C$169,$J$10:$J$169,32,$K$10:$K$169,$O22))</x:f>
        <x:v>0</x:v>
      </x:c>
      <x:c r="S22" s="13" t="n">
        <x:f>IF(COUNTIFS($J$10:$J$169,40,$K$10:$K$169,$O22)=0,"待测",AVERAGEIFS($C$10:$C$169,$J$10:$J$169,40,$K$10:$K$169,$O22))</x:f>
        <x:v>0.75</x:v>
      </x:c>
      <x:c r="T22" s="13" t="n">
        <x:f>AVERAGEIFS('完整回复'!$I$9:$I$104,'完整回复'!$F$9:$F$104,$O22)</x:f>
        <x:v>0.89</x:v>
      </x:c>
      <x:c r="U22" s="13" t="n">
        <x:f>IF(COUNTIFS($J$10:$J$169,64,$K$10:$K$169,$O22)=0,"待测",AVERAGEIFS($C$10:$C$169,$J$10:$J$169,64,$K$10:$K$169,$O22))</x:f>
        <x:v>0.94</x:v>
      </x:c>
    </x:row>
    <x:row r="23" ht="28" customHeight="1">
      <x:c r="A23" s="10" t="str">
        <x:v>px16-g14</x:v>
      </x:c>
      <x:c r="B23" s="10" t="n">
        <x:v>0</x:v>
      </x:c>
      <x:c r="C23" s="12" t="n">
        <x:f>B23/100</x:f>
        <x:v>0</x:v>
      </x:c>
      <x:c r="D23" s="10" t="n">
        <x:v>0</x:v>
      </x:c>
      <x:c r="E23" s="10" t="n">
        <x:v>100</x:v>
      </x:c>
      <x:c r="F23" s="10" t="n">
        <x:v>0</x:v>
      </x:c>
      <x:c r="G23" s="10" t="n">
        <x:v>0</x:v>
      </x:c>
      <x:c r="H23" s="11" t="str">
        <x:v>最大亮度</x:v>
      </x:c>
      <x:c r="I23" s="11" t="str">
        <x:v>不可读</x:v>
      </x:c>
      <x:c r="J23" s="9" t="n">
        <x:v>16</x:v>
      </x:c>
      <x:c r="K23" s="9" t="n">
        <x:v>14</x:v>
      </x:c>
      <x:c r="L23" s="9" t="n">
        <x:v>1</x:v>
      </x:c>
      <x:c r="M23" s="13" t="n">
        <x:f>(D23+E23+F23)/100</x:f>
        <x:v>1</x:v>
      </x:c>
      <x:c r="O23" s="9" t="n">
        <x:v>14</x:v>
      </x:c>
      <x:c r="P23" s="13" t="n">
        <x:f>IF(COUNTIFS($J$10:$J$169,16,$K$10:$K$169,$O23)=0,"待测",AVERAGEIFS($C$10:$C$169,$J$10:$J$169,16,$K$10:$K$169,$O23))</x:f>
        <x:v>0</x:v>
      </x:c>
      <x:c r="Q23" s="13" t="n">
        <x:f>IF(COUNTIFS($J$10:$J$169,24,$K$10:$K$169,$O23)=0,"待测",AVERAGEIFS($C$10:$C$169,$J$10:$J$169,24,$K$10:$K$169,$O23))</x:f>
        <x:v>0</x:v>
      </x:c>
      <x:c r="R23" s="13" t="n">
        <x:f>IF(COUNTIFS($J$10:$J$169,32,$K$10:$K$169,$O23)=0,"待测",AVERAGEIFS($C$10:$C$169,$J$10:$J$169,32,$K$10:$K$169,$O23))</x:f>
        <x:v>0</x:v>
      </x:c>
      <x:c r="S23" s="13" t="n">
        <x:f>IF(COUNTIFS($J$10:$J$169,40,$K$10:$K$169,$O23)=0,"待测",AVERAGEIFS($C$10:$C$169,$J$10:$J$169,40,$K$10:$K$169,$O23))</x:f>
        <x:v>0.8</x:v>
      </x:c>
      <x:c r="T23" s="13" t="n">
        <x:f>AVERAGEIFS('完整回复'!$I$9:$I$104,'完整回复'!$F$9:$F$104,$O23)</x:f>
        <x:v>0.9499999999999998</x:v>
      </x:c>
      <x:c r="U23" s="13" t="n">
        <x:f>IF(COUNTIFS($J$10:$J$169,64,$K$10:$K$169,$O23)=0,"待测",AVERAGEIFS($C$10:$C$169,$J$10:$J$169,64,$K$10:$K$169,$O23))</x:f>
        <x:v>0.94</x:v>
      </x:c>
    </x:row>
    <x:row r="24" ht="28" customHeight="1">
      <x:c r="A24" s="10" t="str">
        <x:v>px16-g15</x:v>
      </x:c>
      <x:c r="B24" s="10" t="n">
        <x:v>0</x:v>
      </x:c>
      <x:c r="C24" s="12" t="n">
        <x:f>B24/100</x:f>
        <x:v>0</x:v>
      </x:c>
      <x:c r="D24" s="10" t="n">
        <x:v>0</x:v>
      </x:c>
      <x:c r="E24" s="10" t="n">
        <x:v>100</x:v>
      </x:c>
      <x:c r="F24" s="10" t="n">
        <x:v>0</x:v>
      </x:c>
      <x:c r="G24" s="10" t="n">
        <x:v>0</x:v>
      </x:c>
      <x:c r="H24" s="11" t="str">
        <x:v>最大亮度</x:v>
      </x:c>
      <x:c r="I24" s="11" t="str">
        <x:v>不可读</x:v>
      </x:c>
      <x:c r="J24" s="9" t="n">
        <x:v>16</x:v>
      </x:c>
      <x:c r="K24" s="9" t="n">
        <x:v>15</x:v>
      </x:c>
      <x:c r="L24" s="9" t="n">
        <x:v>1</x:v>
      </x:c>
      <x:c r="M24" s="13" t="n">
        <x:f>(D24+E24+F24)/100</x:f>
        <x:v>1</x:v>
      </x:c>
      <x:c r="O24" s="9" t="n">
        <x:v>15</x:v>
      </x:c>
      <x:c r="P24" s="13" t="n">
        <x:f>IF(COUNTIFS($J$10:$J$169,16,$K$10:$K$169,$O24)=0,"待测",AVERAGEIFS($C$10:$C$169,$J$10:$J$169,16,$K$10:$K$169,$O24))</x:f>
        <x:v>0</x:v>
      </x:c>
      <x:c r="Q24" s="13" t="n">
        <x:f>IF(COUNTIFS($J$10:$J$169,24,$K$10:$K$169,$O24)=0,"待测",AVERAGEIFS($C$10:$C$169,$J$10:$J$169,24,$K$10:$K$169,$O24))</x:f>
        <x:v>0</x:v>
      </x:c>
      <x:c r="R24" s="13" t="n">
        <x:f>IF(COUNTIFS($J$10:$J$169,32,$K$10:$K$169,$O24)=0,"待测",AVERAGEIFS($C$10:$C$169,$J$10:$J$169,32,$K$10:$K$169,$O24))</x:f>
        <x:v>0</x:v>
      </x:c>
      <x:c r="S24" s="13" t="n">
        <x:f>IF(COUNTIFS($J$10:$J$169,40,$K$10:$K$169,$O24)=0,"待测",AVERAGEIFS($C$10:$C$169,$J$10:$J$169,40,$K$10:$K$169,$O24))</x:f>
        <x:v>0.86</x:v>
      </x:c>
      <x:c r="T24" s="13" t="n">
        <x:f>AVERAGEIFS('完整回复'!$I$9:$I$104,'完整回复'!$F$9:$F$104,$O24)</x:f>
        <x:v>0.93</x:v>
      </x:c>
      <x:c r="U24" s="13" t="n">
        <x:f>IF(COUNTIFS($J$10:$J$169,64,$K$10:$K$169,$O24)=0,"待测",AVERAGEIFS($C$10:$C$169,$J$10:$J$169,64,$K$10:$K$169,$O24))</x:f>
        <x:v>0.95</x:v>
      </x:c>
    </x:row>
    <x:row r="25" ht="28" customHeight="1">
      <x:c r="A25" s="10" t="str">
        <x:v>px16-g16</x:v>
      </x:c>
      <x:c r="B25" s="10" t="n">
        <x:v>0</x:v>
      </x:c>
      <x:c r="C25" s="12" t="n">
        <x:f>B25/100</x:f>
        <x:v>0</x:v>
      </x:c>
      <x:c r="D25" s="10" t="n">
        <x:v>0</x:v>
      </x:c>
      <x:c r="E25" s="10" t="n">
        <x:v>100</x:v>
      </x:c>
      <x:c r="F25" s="10" t="n">
        <x:v>0</x:v>
      </x:c>
      <x:c r="G25" s="10" t="n">
        <x:v>0</x:v>
      </x:c>
      <x:c r="H25" s="11" t="str">
        <x:v>最大亮度</x:v>
      </x:c>
      <x:c r="I25" s="11" t="str">
        <x:v>不可读</x:v>
      </x:c>
      <x:c r="J25" s="9" t="n">
        <x:v>16</x:v>
      </x:c>
      <x:c r="K25" s="9" t="n">
        <x:v>16</x:v>
      </x:c>
      <x:c r="L25" s="9" t="n">
        <x:v>1</x:v>
      </x:c>
      <x:c r="M25" s="13" t="n">
        <x:f>(D25+E25+F25)/100</x:f>
        <x:v>1</x:v>
      </x:c>
      <x:c r="O25" s="9" t="n">
        <x:v>16</x:v>
      </x:c>
      <x:c r="P25" s="13" t="n">
        <x:f>IF(COUNTIFS($J$10:$J$169,16,$K$10:$K$169,$O25)=0,"待测",AVERAGEIFS($C$10:$C$169,$J$10:$J$169,16,$K$10:$K$169,$O25))</x:f>
        <x:v>0</x:v>
      </x:c>
      <x:c r="Q25" s="13" t="n">
        <x:f>IF(COUNTIFS($J$10:$J$169,24,$K$10:$K$169,$O25)=0,"待测",AVERAGEIFS($C$10:$C$169,$J$10:$J$169,24,$K$10:$K$169,$O25))</x:f>
        <x:v>0</x:v>
      </x:c>
      <x:c r="R25" s="13" t="n">
        <x:f>IF(COUNTIFS($J$10:$J$169,32,$K$10:$K$169,$O25)=0,"待测",AVERAGEIFS($C$10:$C$169,$J$10:$J$169,32,$K$10:$K$169,$O25))</x:f>
        <x:v>0</x:v>
      </x:c>
      <x:c r="S25" s="13" t="n">
        <x:f>IF(COUNTIFS($J$10:$J$169,40,$K$10:$K$169,$O25)=0,"待测",AVERAGEIFS($C$10:$C$169,$J$10:$J$169,40,$K$10:$K$169,$O25))</x:f>
        <x:v>0.85</x:v>
      </x:c>
      <x:c r="T25" s="13" t="n">
        <x:f>AVERAGEIFS('完整回复'!$I$9:$I$104,'完整回复'!$F$9:$F$104,$O25)</x:f>
        <x:v>0.9266666666666666</x:v>
      </x:c>
      <x:c r="U25" s="13" t="n">
        <x:f>IF(COUNTIFS($J$10:$J$169,64,$K$10:$K$169,$O25)=0,"待测",AVERAGEIFS($C$10:$C$169,$J$10:$J$169,64,$K$10:$K$169,$O25))</x:f>
        <x:v>0.94</x:v>
      </x:c>
    </x:row>
    <x:row r="26" ht="28" customHeight="1">
      <x:c r="A26" s="10" t="str">
        <x:v>px16-g17</x:v>
      </x:c>
      <x:c r="B26" s="10" t="n">
        <x:v>0</x:v>
      </x:c>
      <x:c r="C26" s="12" t="n">
        <x:f>B26/100</x:f>
        <x:v>0</x:v>
      </x:c>
      <x:c r="D26" s="10" t="n">
        <x:v>0</x:v>
      </x:c>
      <x:c r="E26" s="10" t="n">
        <x:v>100</x:v>
      </x:c>
      <x:c r="F26" s="10" t="n">
        <x:v>0</x:v>
      </x:c>
      <x:c r="G26" s="10" t="n">
        <x:v>0</x:v>
      </x:c>
      <x:c r="H26" s="11" t="str">
        <x:v>最大亮度</x:v>
      </x:c>
      <x:c r="I26" s="11" t="str">
        <x:v>不可读</x:v>
      </x:c>
      <x:c r="J26" s="9" t="n">
        <x:v>16</x:v>
      </x:c>
      <x:c r="K26" s="9" t="n">
        <x:v>17</x:v>
      </x:c>
      <x:c r="L26" s="9" t="n">
        <x:v>1</x:v>
      </x:c>
      <x:c r="M26" s="13" t="n">
        <x:f>(D26+E26+F26)/100</x:f>
        <x:v>1</x:v>
      </x:c>
      <x:c r="O26" s="9" t="n">
        <x:v>17</x:v>
      </x:c>
      <x:c r="P26" s="13" t="n">
        <x:f>IF(COUNTIFS($J$10:$J$169,16,$K$10:$K$169,$O26)=0,"待测",AVERAGEIFS($C$10:$C$169,$J$10:$J$169,16,$K$10:$K$169,$O26))</x:f>
        <x:v>0</x:v>
      </x:c>
      <x:c r="Q26" s="13" t="n">
        <x:f>IF(COUNTIFS($J$10:$J$169,24,$K$10:$K$169,$O26)=0,"待测",AVERAGEIFS($C$10:$C$169,$J$10:$J$169,24,$K$10:$K$169,$O26))</x:f>
        <x:v>0</x:v>
      </x:c>
      <x:c r="R26" s="13" t="n">
        <x:f>IF(COUNTIFS($J$10:$J$169,32,$K$10:$K$169,$O26)=0,"待测",AVERAGEIFS($C$10:$C$169,$J$10:$J$169,32,$K$10:$K$169,$O26))</x:f>
        <x:v>0</x:v>
      </x:c>
      <x:c r="S26" s="13" t="n">
        <x:f>IF(COUNTIFS($J$10:$J$169,40,$K$10:$K$169,$O26)=0,"待测",AVERAGEIFS($C$10:$C$169,$J$10:$J$169,40,$K$10:$K$169,$O26))</x:f>
        <x:v>0.86</x:v>
      </x:c>
      <x:c r="T26" s="13" t="n">
        <x:f>AVERAGEIFS('完整回复'!$I$9:$I$104,'完整回复'!$F$9:$F$104,$O26)</x:f>
        <x:v>0.9433333333333334</x:v>
      </x:c>
      <x:c r="U26" s="13" t="n">
        <x:f>IF(COUNTIFS($J$10:$J$169,64,$K$10:$K$169,$O26)=0,"待测",AVERAGEIFS($C$10:$C$169,$J$10:$J$169,64,$K$10:$K$169,$O26))</x:f>
        <x:v>0.96</x:v>
      </x:c>
    </x:row>
    <x:row r="27" ht="28" customHeight="1">
      <x:c r="A27" s="10" t="str">
        <x:v>px16-g18</x:v>
      </x:c>
      <x:c r="B27" s="10" t="n">
        <x:v>0</x:v>
      </x:c>
      <x:c r="C27" s="12" t="n">
        <x:f>B27/100</x:f>
        <x:v>0</x:v>
      </x:c>
      <x:c r="D27" s="10" t="n">
        <x:v>0</x:v>
      </x:c>
      <x:c r="E27" s="10" t="n">
        <x:v>100</x:v>
      </x:c>
      <x:c r="F27" s="10" t="n">
        <x:v>0</x:v>
      </x:c>
      <x:c r="G27" s="10" t="n">
        <x:v>0</x:v>
      </x:c>
      <x:c r="H27" s="11" t="str">
        <x:v>最大亮度</x:v>
      </x:c>
      <x:c r="I27" s="11" t="str">
        <x:v>不可读</x:v>
      </x:c>
      <x:c r="J27" s="9" t="n">
        <x:v>16</x:v>
      </x:c>
      <x:c r="K27" s="9" t="n">
        <x:v>18</x:v>
      </x:c>
      <x:c r="L27" s="9" t="n">
        <x:v>1</x:v>
      </x:c>
      <x:c r="M27" s="13" t="n">
        <x:f>(D27+E27+F27)/100</x:f>
        <x:v>1</x:v>
      </x:c>
      <x:c r="O27" s="9" t="n">
        <x:v>18</x:v>
      </x:c>
      <x:c r="P27" s="13" t="n">
        <x:f>IF(COUNTIFS($J$10:$J$169,16,$K$10:$K$169,$O27)=0,"待测",AVERAGEIFS($C$10:$C$169,$J$10:$J$169,16,$K$10:$K$169,$O27))</x:f>
        <x:v>0</x:v>
      </x:c>
      <x:c r="Q27" s="13" t="n">
        <x:f>IF(COUNTIFS($J$10:$J$169,24,$K$10:$K$169,$O27)=0,"待测",AVERAGEIFS($C$10:$C$169,$J$10:$J$169,24,$K$10:$K$169,$O27))</x:f>
        <x:v>0</x:v>
      </x:c>
      <x:c r="R27" s="13" t="n">
        <x:f>IF(COUNTIFS($J$10:$J$169,32,$K$10:$K$169,$O27)=0,"待测",AVERAGEIFS($C$10:$C$169,$J$10:$J$169,32,$K$10:$K$169,$O27))</x:f>
        <x:v>0</x:v>
      </x:c>
      <x:c r="S27" s="13" t="n">
        <x:f>IF(COUNTIFS($J$10:$J$169,40,$K$10:$K$169,$O27)=0,"待测",AVERAGEIFS($C$10:$C$169,$J$10:$J$169,40,$K$10:$K$169,$O27))</x:f>
        <x:v>0.86</x:v>
      </x:c>
      <x:c r="T27" s="13" t="n">
        <x:f>AVERAGEIFS('完整回复'!$I$9:$I$104,'完整回复'!$F$9:$F$104,$O27)</x:f>
        <x:v>0.9666666666666667</x:v>
      </x:c>
      <x:c r="U27" s="13" t="n">
        <x:f>IF(COUNTIFS($J$10:$J$169,64,$K$10:$K$169,$O27)=0,"待测",AVERAGEIFS($C$10:$C$169,$J$10:$J$169,64,$K$10:$K$169,$O27))</x:f>
        <x:v>0.98</x:v>
      </x:c>
    </x:row>
    <x:row r="28" ht="28" customHeight="1">
      <x:c r="A28" s="10" t="str">
        <x:v>px16-g19</x:v>
      </x:c>
      <x:c r="B28" s="10" t="n">
        <x:v>0</x:v>
      </x:c>
      <x:c r="C28" s="12" t="n">
        <x:f>B28/100</x:f>
        <x:v>0</x:v>
      </x:c>
      <x:c r="D28" s="10" t="n">
        <x:v>0</x:v>
      </x:c>
      <x:c r="E28" s="10" t="n">
        <x:v>100</x:v>
      </x:c>
      <x:c r="F28" s="10" t="n">
        <x:v>0</x:v>
      </x:c>
      <x:c r="G28" s="10" t="n">
        <x:v>0</x:v>
      </x:c>
      <x:c r="H28" s="11" t="str">
        <x:v>最大亮度</x:v>
      </x:c>
      <x:c r="I28" s="11" t="str">
        <x:v>不可读</x:v>
      </x:c>
      <x:c r="J28" s="9" t="n">
        <x:v>16</x:v>
      </x:c>
      <x:c r="K28" s="9" t="n">
        <x:v>19</x:v>
      </x:c>
      <x:c r="L28" s="9" t="n">
        <x:v>1</x:v>
      </x:c>
      <x:c r="M28" s="13" t="n">
        <x:f>(D28+E28+F28)/100</x:f>
        <x:v>1</x:v>
      </x:c>
      <x:c r="O28" s="9" t="n">
        <x:v>19</x:v>
      </x:c>
      <x:c r="P28" s="13" t="n">
        <x:f>IF(COUNTIFS($J$10:$J$169,16,$K$10:$K$169,$O28)=0,"待测",AVERAGEIFS($C$10:$C$169,$J$10:$J$169,16,$K$10:$K$169,$O28))</x:f>
        <x:v>0</x:v>
      </x:c>
      <x:c r="Q28" s="13" t="n">
        <x:f>IF(COUNTIFS($J$10:$J$169,24,$K$10:$K$169,$O28)=0,"待测",AVERAGEIFS($C$10:$C$169,$J$10:$J$169,24,$K$10:$K$169,$O28))</x:f>
        <x:v>0</x:v>
      </x:c>
      <x:c r="R28" s="13" t="n">
        <x:f>IF(COUNTIFS($J$10:$J$169,32,$K$10:$K$169,$O28)=0,"待测",AVERAGEIFS($C$10:$C$169,$J$10:$J$169,32,$K$10:$K$169,$O28))</x:f>
        <x:v>0.69</x:v>
      </x:c>
      <x:c r="S28" s="13" t="n">
        <x:f>IF(COUNTIFS($J$10:$J$169,40,$K$10:$K$169,$O28)=0,"待测",AVERAGEIFS($C$10:$C$169,$J$10:$J$169,40,$K$10:$K$169,$O28))</x:f>
        <x:v>0.88</x:v>
      </x:c>
      <x:c r="T28" s="13" t="n">
        <x:f>AVERAGEIFS('完整回复'!$I$9:$I$104,'完整回复'!$F$9:$F$104,$O28)</x:f>
        <x:v>0.9533333333333333</x:v>
      </x:c>
      <x:c r="U28" s="13" t="n">
        <x:f>IF(COUNTIFS($J$10:$J$169,64,$K$10:$K$169,$O28)=0,"待测",AVERAGEIFS($C$10:$C$169,$J$10:$J$169,64,$K$10:$K$169,$O28))</x:f>
        <x:v>0.96</x:v>
      </x:c>
    </x:row>
    <x:row r="29" ht="28" customHeight="1">
      <x:c r="A29" s="10" t="str">
        <x:v>px16-g20</x:v>
      </x:c>
      <x:c r="B29" s="10" t="n">
        <x:v>0</x:v>
      </x:c>
      <x:c r="C29" s="12" t="n">
        <x:f>B29/100</x:f>
        <x:v>0</x:v>
      </x:c>
      <x:c r="D29" s="10" t="n">
        <x:v>0</x:v>
      </x:c>
      <x:c r="E29" s="10" t="n">
        <x:v>100</x:v>
      </x:c>
      <x:c r="F29" s="10" t="n">
        <x:v>0</x:v>
      </x:c>
      <x:c r="G29" s="10" t="n">
        <x:v>0</x:v>
      </x:c>
      <x:c r="H29" s="11" t="str">
        <x:v>最大亮度</x:v>
      </x:c>
      <x:c r="I29" s="11" t="str">
        <x:v>不可读</x:v>
      </x:c>
      <x:c r="J29" s="9" t="n">
        <x:v>16</x:v>
      </x:c>
      <x:c r="K29" s="9" t="n">
        <x:v>20</x:v>
      </x:c>
      <x:c r="L29" s="9" t="n">
        <x:v>1</x:v>
      </x:c>
      <x:c r="M29" s="13" t="n">
        <x:f>(D29+E29+F29)/100</x:f>
        <x:v>1</x:v>
      </x:c>
      <x:c r="O29" s="9" t="n">
        <x:v>20</x:v>
      </x:c>
      <x:c r="P29" s="13" t="n">
        <x:f>IF(COUNTIFS($J$10:$J$169,16,$K$10:$K$169,$O29)=0,"待测",AVERAGEIFS($C$10:$C$169,$J$10:$J$169,16,$K$10:$K$169,$O29))</x:f>
        <x:v>0</x:v>
      </x:c>
      <x:c r="Q29" s="13" t="n">
        <x:f>IF(COUNTIFS($J$10:$J$169,24,$K$10:$K$169,$O29)=0,"待测",AVERAGEIFS($C$10:$C$169,$J$10:$J$169,24,$K$10:$K$169,$O29))</x:f>
        <x:v>0</x:v>
      </x:c>
      <x:c r="R29" s="13" t="n">
        <x:f>IF(COUNTIFS($J$10:$J$169,32,$K$10:$K$169,$O29)=0,"待测",AVERAGEIFS($C$10:$C$169,$J$10:$J$169,32,$K$10:$K$169,$O29))</x:f>
        <x:v>0.71</x:v>
      </x:c>
      <x:c r="S29" s="13" t="n">
        <x:f>IF(COUNTIFS($J$10:$J$169,40,$K$10:$K$169,$O29)=0,"待测",AVERAGEIFS($C$10:$C$169,$J$10:$J$169,40,$K$10:$K$169,$O29))</x:f>
        <x:v>0.91</x:v>
      </x:c>
      <x:c r="T29" s="13" t="n">
        <x:f>AVERAGEIFS('完整回复'!$I$9:$I$104,'完整回复'!$F$9:$F$104,$O29)</x:f>
        <x:v>0.9500000000000001</x:v>
      </x:c>
      <x:c r="U29" s="13" t="n">
        <x:f>IF(COUNTIFS($J$10:$J$169,64,$K$10:$K$169,$O29)=0,"待测",AVERAGEIFS($C$10:$C$169,$J$10:$J$169,64,$K$10:$K$169,$O29))</x:f>
        <x:v>0.97</x:v>
      </x:c>
    </x:row>
    <x:row r="30" ht="28" customHeight="1">
      <x:c r="A30" s="10" t="str">
        <x:v>px16-g21</x:v>
      </x:c>
      <x:c r="B30" s="10" t="n">
        <x:v>0</x:v>
      </x:c>
      <x:c r="C30" s="12" t="n">
        <x:f>B30/100</x:f>
        <x:v>0</x:v>
      </x:c>
      <x:c r="D30" s="10" t="n">
        <x:v>0</x:v>
      </x:c>
      <x:c r="E30" s="10" t="n">
        <x:v>100</x:v>
      </x:c>
      <x:c r="F30" s="10" t="n">
        <x:v>0</x:v>
      </x:c>
      <x:c r="G30" s="10" t="n">
        <x:v>0</x:v>
      </x:c>
      <x:c r="H30" s="11" t="str">
        <x:v>最大亮度</x:v>
      </x:c>
      <x:c r="I30" s="11" t="str">
        <x:v>不可读</x:v>
      </x:c>
      <x:c r="J30" s="9" t="n">
        <x:v>16</x:v>
      </x:c>
      <x:c r="K30" s="9" t="n">
        <x:v>21</x:v>
      </x:c>
      <x:c r="L30" s="9" t="n">
        <x:v>1</x:v>
      </x:c>
      <x:c r="M30" s="13" t="n">
        <x:f>(D30+E30+F30)/100</x:f>
        <x:v>1</x:v>
      </x:c>
      <x:c r="O30" s="9" t="n">
        <x:v>21</x:v>
      </x:c>
      <x:c r="P30" s="13" t="n">
        <x:f>IF(COUNTIFS($J$10:$J$169,16,$K$10:$K$169,$O30)=0,"待测",AVERAGEIFS($C$10:$C$169,$J$10:$J$169,16,$K$10:$K$169,$O30))</x:f>
        <x:v>0</x:v>
      </x:c>
      <x:c r="Q30" s="13" t="n">
        <x:f>IF(COUNTIFS($J$10:$J$169,24,$K$10:$K$169,$O30)=0,"待测",AVERAGEIFS($C$10:$C$169,$J$10:$J$169,24,$K$10:$K$169,$O30))</x:f>
        <x:v>0</x:v>
      </x:c>
      <x:c r="R30" s="13" t="n">
        <x:f>IF(COUNTIFS($J$10:$J$169,32,$K$10:$K$169,$O30)=0,"待测",AVERAGEIFS($C$10:$C$169,$J$10:$J$169,32,$K$10:$K$169,$O30))</x:f>
        <x:v>0.73</x:v>
      </x:c>
      <x:c r="S30" s="13" t="n">
        <x:f>IF(COUNTIFS($J$10:$J$169,40,$K$10:$K$169,$O30)=0,"待测",AVERAGEIFS($C$10:$C$169,$J$10:$J$169,40,$K$10:$K$169,$O30))</x:f>
        <x:v>0.89</x:v>
      </x:c>
      <x:c r="T30" s="13" t="n">
        <x:f>AVERAGEIFS('完整回复'!$I$9:$I$104,'完整回复'!$F$9:$F$104,$O30)</x:f>
        <x:v>0.96</x:v>
      </x:c>
      <x:c r="U30" s="13" t="n">
        <x:f>IF(COUNTIFS($J$10:$J$169,64,$K$10:$K$169,$O30)=0,"待测",AVERAGEIFS($C$10:$C$169,$J$10:$J$169,64,$K$10:$K$169,$O30))</x:f>
        <x:v>0.97</x:v>
      </x:c>
    </x:row>
    <x:row r="31" ht="28" customHeight="1">
      <x:c r="A31" s="10" t="str">
        <x:v>px16-g22</x:v>
      </x:c>
      <x:c r="B31" s="10" t="n">
        <x:v>0</x:v>
      </x:c>
      <x:c r="C31" s="12" t="n">
        <x:f>B31/100</x:f>
        <x:v>0</x:v>
      </x:c>
      <x:c r="D31" s="10" t="n">
        <x:v>0</x:v>
      </x:c>
      <x:c r="E31" s="10" t="n">
        <x:v>100</x:v>
      </x:c>
      <x:c r="F31" s="10" t="n">
        <x:v>0</x:v>
      </x:c>
      <x:c r="G31" s="10" t="n">
        <x:v>0</x:v>
      </x:c>
      <x:c r="H31" s="11" t="str">
        <x:v>最大亮度</x:v>
      </x:c>
      <x:c r="I31" s="11" t="str">
        <x:v>不可读</x:v>
      </x:c>
      <x:c r="J31" s="9" t="n">
        <x:v>16</x:v>
      </x:c>
      <x:c r="K31" s="9" t="n">
        <x:v>22</x:v>
      </x:c>
      <x:c r="L31" s="9" t="n">
        <x:v>1</x:v>
      </x:c>
      <x:c r="M31" s="13" t="n">
        <x:f>(D31+E31+F31)/100</x:f>
        <x:v>1</x:v>
      </x:c>
      <x:c r="O31" s="9" t="n">
        <x:v>22</x:v>
      </x:c>
      <x:c r="P31" s="13" t="n">
        <x:f>IF(COUNTIFS($J$10:$J$169,16,$K$10:$K$169,$O31)=0,"待测",AVERAGEIFS($C$10:$C$169,$J$10:$J$169,16,$K$10:$K$169,$O31))</x:f>
        <x:v>0</x:v>
      </x:c>
      <x:c r="Q31" s="13" t="n">
        <x:f>IF(COUNTIFS($J$10:$J$169,24,$K$10:$K$169,$O31)=0,"待测",AVERAGEIFS($C$10:$C$169,$J$10:$J$169,24,$K$10:$K$169,$O31))</x:f>
        <x:v>0</x:v>
      </x:c>
      <x:c r="R31" s="13" t="n">
        <x:f>IF(COUNTIFS($J$10:$J$169,32,$K$10:$K$169,$O31)=0,"待测",AVERAGEIFS($C$10:$C$169,$J$10:$J$169,32,$K$10:$K$169,$O31))</x:f>
        <x:v>0.78</x:v>
      </x:c>
      <x:c r="S31" s="13" t="n">
        <x:f>IF(COUNTIFS($J$10:$J$169,40,$K$10:$K$169,$O31)=0,"待测",AVERAGEIFS($C$10:$C$169,$J$10:$J$169,40,$K$10:$K$169,$O31))</x:f>
        <x:v>0.89</x:v>
      </x:c>
      <x:c r="T31" s="13" t="n">
        <x:f>AVERAGEIFS('完整回复'!$I$9:$I$104,'完整回复'!$F$9:$F$104,$O31)</x:f>
        <x:v>0.9566666666666667</x:v>
      </x:c>
      <x:c r="U31" s="13" t="n">
        <x:f>IF(COUNTIFS($J$10:$J$169,64,$K$10:$K$169,$O31)=0,"待测",AVERAGEIFS($C$10:$C$169,$J$10:$J$169,64,$K$10:$K$169,$O31))</x:f>
        <x:v>0.98</x:v>
      </x:c>
    </x:row>
    <x:row r="32" ht="28" customHeight="1">
      <x:c r="A32" s="10" t="str">
        <x:v>px16-g23</x:v>
      </x:c>
      <x:c r="B32" s="10" t="n">
        <x:v>0</x:v>
      </x:c>
      <x:c r="C32" s="12" t="n">
        <x:f>B32/100</x:f>
        <x:v>0</x:v>
      </x:c>
      <x:c r="D32" s="10" t="n">
        <x:v>0</x:v>
      </x:c>
      <x:c r="E32" s="10" t="n">
        <x:v>100</x:v>
      </x:c>
      <x:c r="F32" s="10" t="n">
        <x:v>0</x:v>
      </x:c>
      <x:c r="G32" s="10" t="n">
        <x:v>0</x:v>
      </x:c>
      <x:c r="H32" s="11" t="str">
        <x:v>最大亮度</x:v>
      </x:c>
      <x:c r="I32" s="11" t="str">
        <x:v>不可读</x:v>
      </x:c>
      <x:c r="J32" s="9" t="n">
        <x:v>16</x:v>
      </x:c>
      <x:c r="K32" s="9" t="n">
        <x:v>23</x:v>
      </x:c>
      <x:c r="L32" s="9" t="n">
        <x:v>1</x:v>
      </x:c>
      <x:c r="M32" s="13" t="n">
        <x:f>(D32+E32+F32)/100</x:f>
        <x:v>1</x:v>
      </x:c>
      <x:c r="O32" s="9" t="n">
        <x:v>23</x:v>
      </x:c>
      <x:c r="P32" s="13" t="n">
        <x:f>IF(COUNTIFS($J$10:$J$169,16,$K$10:$K$169,$O32)=0,"待测",AVERAGEIFS($C$10:$C$169,$J$10:$J$169,16,$K$10:$K$169,$O32))</x:f>
        <x:v>0</x:v>
      </x:c>
      <x:c r="Q32" s="13" t="n">
        <x:f>IF(COUNTIFS($J$10:$J$169,24,$K$10:$K$169,$O32)=0,"待测",AVERAGEIFS($C$10:$C$169,$J$10:$J$169,24,$K$10:$K$169,$O32))</x:f>
        <x:v>0</x:v>
      </x:c>
      <x:c r="R32" s="13" t="n">
        <x:f>IF(COUNTIFS($J$10:$J$169,32,$K$10:$K$169,$O32)=0,"待测",AVERAGEIFS($C$10:$C$169,$J$10:$J$169,32,$K$10:$K$169,$O32))</x:f>
        <x:v>0.83</x:v>
      </x:c>
      <x:c r="S32" s="13" t="n">
        <x:f>IF(COUNTIFS($J$10:$J$169,40,$K$10:$K$169,$O32)=0,"待测",AVERAGEIFS($C$10:$C$169,$J$10:$J$169,40,$K$10:$K$169,$O32))</x:f>
        <x:v>0.92</x:v>
      </x:c>
      <x:c r="T32" s="13" t="n">
        <x:f>AVERAGEIFS('完整回复'!$I$9:$I$104,'完整回复'!$F$9:$F$104,$O32)</x:f>
        <x:v>0.9566666666666667</x:v>
      </x:c>
      <x:c r="U32" s="13" t="n">
        <x:f>IF(COUNTIFS($J$10:$J$169,64,$K$10:$K$169,$O32)=0,"待测",AVERAGEIFS($C$10:$C$169,$J$10:$J$169,64,$K$10:$K$169,$O32))</x:f>
        <x:v>0.97</x:v>
      </x:c>
    </x:row>
    <x:row r="33" ht="28" customHeight="1">
      <x:c r="A33" s="10" t="str">
        <x:v>px16-g24</x:v>
      </x:c>
      <x:c r="B33" s="10" t="n">
        <x:v>0</x:v>
      </x:c>
      <x:c r="C33" s="12" t="n">
        <x:f>B33/100</x:f>
        <x:v>0</x:v>
      </x:c>
      <x:c r="D33" s="10" t="n">
        <x:v>0</x:v>
      </x:c>
      <x:c r="E33" s="10" t="n">
        <x:v>100</x:v>
      </x:c>
      <x:c r="F33" s="10" t="n">
        <x:v>0</x:v>
      </x:c>
      <x:c r="G33" s="10" t="n">
        <x:v>0</x:v>
      </x:c>
      <x:c r="H33" s="11" t="str">
        <x:v>最大亮度</x:v>
      </x:c>
      <x:c r="I33" s="11" t="str">
        <x:v>不可读</x:v>
      </x:c>
      <x:c r="J33" s="9" t="n">
        <x:v>16</x:v>
      </x:c>
      <x:c r="K33" s="9" t="n">
        <x:v>24</x:v>
      </x:c>
      <x:c r="L33" s="9" t="n">
        <x:v>1</x:v>
      </x:c>
      <x:c r="M33" s="13" t="n">
        <x:f>(D33+E33+F33)/100</x:f>
        <x:v>1</x:v>
      </x:c>
      <x:c r="O33" s="9" t="n">
        <x:v>24</x:v>
      </x:c>
      <x:c r="P33" s="13" t="n">
        <x:f>IF(COUNTIFS($J$10:$J$169,16,$K$10:$K$169,$O33)=0,"待测",AVERAGEIFS($C$10:$C$169,$J$10:$J$169,16,$K$10:$K$169,$O33))</x:f>
        <x:v>0</x:v>
      </x:c>
      <x:c r="Q33" s="13" t="n">
        <x:f>IF(COUNTIFS($J$10:$J$169,24,$K$10:$K$169,$O33)=0,"待测",AVERAGEIFS($C$10:$C$169,$J$10:$J$169,24,$K$10:$K$169,$O33))</x:f>
        <x:v>0</x:v>
      </x:c>
      <x:c r="R33" s="13" t="n">
        <x:f>IF(COUNTIFS($J$10:$J$169,32,$K$10:$K$169,$O33)=0,"待测",AVERAGEIFS($C$10:$C$169,$J$10:$J$169,32,$K$10:$K$169,$O33))</x:f>
        <x:v>0.78</x:v>
      </x:c>
      <x:c r="S33" s="13" t="n">
        <x:f>IF(COUNTIFS($J$10:$J$169,40,$K$10:$K$169,$O33)=0,"待测",AVERAGEIFS($C$10:$C$169,$J$10:$J$169,40,$K$10:$K$169,$O33))</x:f>
        <x:v>0.94</x:v>
      </x:c>
      <x:c r="T33" s="13" t="n">
        <x:f>AVERAGEIFS('完整回复'!$I$9:$I$104,'完整回复'!$F$9:$F$104,$O33)</x:f>
        <x:v>0.9733333333333333</x:v>
      </x:c>
      <x:c r="U33" s="13" t="n">
        <x:f>IF(COUNTIFS($J$10:$J$169,64,$K$10:$K$169,$O33)=0,"待测",AVERAGEIFS($C$10:$C$169,$J$10:$J$169,64,$K$10:$K$169,$O33))</x:f>
        <x:v>0.98</x:v>
      </x:c>
    </x:row>
    <x:row r="34" ht="28" customHeight="1">
      <x:c r="A34" s="10" t="str">
        <x:v>px16-g25</x:v>
      </x:c>
      <x:c r="B34" s="10" t="n">
        <x:v>0</x:v>
      </x:c>
      <x:c r="C34" s="12" t="n">
        <x:f>B34/100</x:f>
        <x:v>0</x:v>
      </x:c>
      <x:c r="D34" s="10" t="n">
        <x:v>0</x:v>
      </x:c>
      <x:c r="E34" s="10" t="n">
        <x:v>100</x:v>
      </x:c>
      <x:c r="F34" s="10" t="n">
        <x:v>0</x:v>
      </x:c>
      <x:c r="G34" s="10" t="n">
        <x:v>0</x:v>
      </x:c>
      <x:c r="H34" s="11" t="str">
        <x:v>最大亮度</x:v>
      </x:c>
      <x:c r="I34" s="11" t="str">
        <x:v>不可读</x:v>
      </x:c>
      <x:c r="J34" s="9" t="n">
        <x:v>16</x:v>
      </x:c>
      <x:c r="K34" s="9" t="n">
        <x:v>25</x:v>
      </x:c>
      <x:c r="L34" s="9" t="n">
        <x:v>1</x:v>
      </x:c>
      <x:c r="M34" s="13" t="n">
        <x:f>(D34+E34+F34)/100</x:f>
        <x:v>1</x:v>
      </x:c>
      <x:c r="O34" s="9" t="n">
        <x:v>25</x:v>
      </x:c>
      <x:c r="P34" s="13" t="n">
        <x:f>IF(COUNTIFS($J$10:$J$169,16,$K$10:$K$169,$O34)=0,"待测",AVERAGEIFS($C$10:$C$169,$J$10:$J$169,16,$K$10:$K$169,$O34))</x:f>
        <x:v>0</x:v>
      </x:c>
      <x:c r="Q34" s="13" t="n">
        <x:f>IF(COUNTIFS($J$10:$J$169,24,$K$10:$K$169,$O34)=0,"待测",AVERAGEIFS($C$10:$C$169,$J$10:$J$169,24,$K$10:$K$169,$O34))</x:f>
        <x:v>0</x:v>
      </x:c>
      <x:c r="R34" s="13" t="n">
        <x:f>IF(COUNTIFS($J$10:$J$169,32,$K$10:$K$169,$O34)=0,"待测",AVERAGEIFS($C$10:$C$169,$J$10:$J$169,32,$K$10:$K$169,$O34))</x:f>
        <x:v>0.8</x:v>
      </x:c>
      <x:c r="S34" s="13" t="n">
        <x:f>IF(COUNTIFS($J$10:$J$169,40,$K$10:$K$169,$O34)=0,"待测",AVERAGEIFS($C$10:$C$169,$J$10:$J$169,40,$K$10:$K$169,$O34))</x:f>
        <x:v>0.9</x:v>
      </x:c>
      <x:c r="T34" s="13" t="n">
        <x:f>AVERAGEIFS('完整回复'!$I$9:$I$104,'完整回复'!$F$9:$F$104,$O34)</x:f>
        <x:v>0.96</x:v>
      </x:c>
      <x:c r="U34" s="13" t="n">
        <x:f>IF(COUNTIFS($J$10:$J$169,64,$K$10:$K$169,$O34)=0,"待测",AVERAGEIFS($C$10:$C$169,$J$10:$J$169,64,$K$10:$K$169,$O34))</x:f>
        <x:v>0.98</x:v>
      </x:c>
    </x:row>
    <x:row r="35" ht="28" customHeight="1">
      <x:c r="A35" s="10" t="str">
        <x:v>px16-g26</x:v>
      </x:c>
      <x:c r="B35" s="10" t="n">
        <x:v>0</x:v>
      </x:c>
      <x:c r="C35" s="12" t="n">
        <x:f>B35/100</x:f>
        <x:v>0</x:v>
      </x:c>
      <x:c r="D35" s="10" t="n">
        <x:v>0</x:v>
      </x:c>
      <x:c r="E35" s="10" t="n">
        <x:v>100</x:v>
      </x:c>
      <x:c r="F35" s="10" t="n">
        <x:v>0</x:v>
      </x:c>
      <x:c r="G35" s="10" t="n">
        <x:v>0</x:v>
      </x:c>
      <x:c r="H35" s="11" t="str">
        <x:v>最大亮度</x:v>
      </x:c>
      <x:c r="I35" s="11" t="str">
        <x:v>不可读</x:v>
      </x:c>
      <x:c r="J35" s="9" t="n">
        <x:v>16</x:v>
      </x:c>
      <x:c r="K35" s="9" t="n">
        <x:v>26</x:v>
      </x:c>
      <x:c r="L35" s="9" t="n">
        <x:v>1</x:v>
      </x:c>
      <x:c r="M35" s="13" t="n">
        <x:f>(D35+E35+F35)/100</x:f>
        <x:v>1</x:v>
      </x:c>
      <x:c r="O35" s="9" t="n">
        <x:v>26</x:v>
      </x:c>
      <x:c r="P35" s="13" t="n">
        <x:f>IF(COUNTIFS($J$10:$J$169,16,$K$10:$K$169,$O35)=0,"待测",AVERAGEIFS($C$10:$C$169,$J$10:$J$169,16,$K$10:$K$169,$O35))</x:f>
        <x:v>0</x:v>
      </x:c>
      <x:c r="Q35" s="13" t="n">
        <x:f>IF(COUNTIFS($J$10:$J$169,24,$K$10:$K$169,$O35)=0,"待测",AVERAGEIFS($C$10:$C$169,$J$10:$J$169,24,$K$10:$K$169,$O35))</x:f>
        <x:v>0</x:v>
      </x:c>
      <x:c r="R35" s="13" t="n">
        <x:f>IF(COUNTIFS($J$10:$J$169,32,$K$10:$K$169,$O35)=0,"待测",AVERAGEIFS($C$10:$C$169,$J$10:$J$169,32,$K$10:$K$169,$O35))</x:f>
        <x:v>0.78</x:v>
      </x:c>
      <x:c r="S35" s="13" t="n">
        <x:f>IF(COUNTIFS($J$10:$J$169,40,$K$10:$K$169,$O35)=0,"待测",AVERAGEIFS($C$10:$C$169,$J$10:$J$169,40,$K$10:$K$169,$O35))</x:f>
        <x:v>0.94</x:v>
      </x:c>
      <x:c r="T35" s="13" t="n">
        <x:f>AVERAGEIFS('完整回复'!$I$9:$I$104,'完整回复'!$F$9:$F$104,$O35)</x:f>
        <x:v>0.9700000000000001</x:v>
      </x:c>
      <x:c r="U35" s="13" t="n">
        <x:f>IF(COUNTIFS($J$10:$J$169,64,$K$10:$K$169,$O35)=0,"待测",AVERAGEIFS($C$10:$C$169,$J$10:$J$169,64,$K$10:$K$169,$O35))</x:f>
        <x:v>0.96</x:v>
      </x:c>
    </x:row>
    <x:row r="36" ht="28" customHeight="1">
      <x:c r="A36" s="10" t="str">
        <x:v>px16-g27</x:v>
      </x:c>
      <x:c r="B36" s="10" t="n">
        <x:v>0</x:v>
      </x:c>
      <x:c r="C36" s="12" t="n">
        <x:f>B36/100</x:f>
        <x:v>0</x:v>
      </x:c>
      <x:c r="D36" s="10" t="n">
        <x:v>0</x:v>
      </x:c>
      <x:c r="E36" s="10" t="n">
        <x:v>100</x:v>
      </x:c>
      <x:c r="F36" s="10" t="n">
        <x:v>0</x:v>
      </x:c>
      <x:c r="G36" s="10" t="n">
        <x:v>0</x:v>
      </x:c>
      <x:c r="H36" s="11" t="str">
        <x:v>最大亮度</x:v>
      </x:c>
      <x:c r="I36" s="11" t="str">
        <x:v>不可读</x:v>
      </x:c>
      <x:c r="J36" s="9" t="n">
        <x:v>16</x:v>
      </x:c>
      <x:c r="K36" s="9" t="n">
        <x:v>27</x:v>
      </x:c>
      <x:c r="L36" s="9" t="n">
        <x:v>1</x:v>
      </x:c>
      <x:c r="M36" s="13" t="n">
        <x:f>(D36+E36+F36)/100</x:f>
        <x:v>1</x:v>
      </x:c>
      <x:c r="O36" s="9" t="n">
        <x:v>27</x:v>
      </x:c>
      <x:c r="P36" s="13" t="n">
        <x:f>IF(COUNTIFS($J$10:$J$169,16,$K$10:$K$169,$O36)=0,"待测",AVERAGEIFS($C$10:$C$169,$J$10:$J$169,16,$K$10:$K$169,$O36))</x:f>
        <x:v>0</x:v>
      </x:c>
      <x:c r="Q36" s="13" t="n">
        <x:f>IF(COUNTIFS($J$10:$J$169,24,$K$10:$K$169,$O36)=0,"待测",AVERAGEIFS($C$10:$C$169,$J$10:$J$169,24,$K$10:$K$169,$O36))</x:f>
        <x:v>0</x:v>
      </x:c>
      <x:c r="R36" s="13" t="n">
        <x:f>IF(COUNTIFS($J$10:$J$169,32,$K$10:$K$169,$O36)=0,"待测",AVERAGEIFS($C$10:$C$169,$J$10:$J$169,32,$K$10:$K$169,$O36))</x:f>
        <x:v>0.78</x:v>
      </x:c>
      <x:c r="S36" s="13" t="n">
        <x:f>IF(COUNTIFS($J$10:$J$169,40,$K$10:$K$169,$O36)=0,"待测",AVERAGEIFS($C$10:$C$169,$J$10:$J$169,40,$K$10:$K$169,$O36))</x:f>
        <x:v>0.93</x:v>
      </x:c>
      <x:c r="T36" s="13" t="n">
        <x:f>AVERAGEIFS('完整回复'!$I$9:$I$104,'完整回复'!$F$9:$F$104,$O36)</x:f>
        <x:v>0.9566666666666667</x:v>
      </x:c>
      <x:c r="U36" s="13" t="n">
        <x:f>IF(COUNTIFS($J$10:$J$169,64,$K$10:$K$169,$O36)=0,"待测",AVERAGEIFS($C$10:$C$169,$J$10:$J$169,64,$K$10:$K$169,$O36))</x:f>
        <x:v>0.98</x:v>
      </x:c>
    </x:row>
    <x:row r="37" ht="28" customHeight="1">
      <x:c r="A37" s="10" t="str">
        <x:v>px16-g28</x:v>
      </x:c>
      <x:c r="B37" s="10" t="n">
        <x:v>0</x:v>
      </x:c>
      <x:c r="C37" s="12" t="n">
        <x:f>B37/100</x:f>
        <x:v>0</x:v>
      </x:c>
      <x:c r="D37" s="10" t="n">
        <x:v>0</x:v>
      </x:c>
      <x:c r="E37" s="10" t="n">
        <x:v>100</x:v>
      </x:c>
      <x:c r="F37" s="10" t="n">
        <x:v>0</x:v>
      </x:c>
      <x:c r="G37" s="10" t="n">
        <x:v>0</x:v>
      </x:c>
      <x:c r="H37" s="11" t="str">
        <x:v>最大亮度</x:v>
      </x:c>
      <x:c r="I37" s="11" t="str">
        <x:v>不可读</x:v>
      </x:c>
      <x:c r="J37" s="9" t="n">
        <x:v>16</x:v>
      </x:c>
      <x:c r="K37" s="9" t="n">
        <x:v>28</x:v>
      </x:c>
      <x:c r="L37" s="9" t="n">
        <x:v>1</x:v>
      </x:c>
      <x:c r="M37" s="13" t="n">
        <x:f>(D37+E37+F37)/100</x:f>
        <x:v>1</x:v>
      </x:c>
      <x:c r="O37" s="9" t="n">
        <x:v>28</x:v>
      </x:c>
      <x:c r="P37" s="13" t="n">
        <x:f>IF(COUNTIFS($J$10:$J$169,16,$K$10:$K$169,$O37)=0,"待测",AVERAGEIFS($C$10:$C$169,$J$10:$J$169,16,$K$10:$K$169,$O37))</x:f>
        <x:v>0</x:v>
      </x:c>
      <x:c r="Q37" s="13" t="n">
        <x:f>IF(COUNTIFS($J$10:$J$169,24,$K$10:$K$169,$O37)=0,"待测",AVERAGEIFS($C$10:$C$169,$J$10:$J$169,24,$K$10:$K$169,$O37))</x:f>
        <x:v>0</x:v>
      </x:c>
      <x:c r="R37" s="13" t="n">
        <x:f>IF(COUNTIFS($J$10:$J$169,32,$K$10:$K$169,$O37)=0,"待测",AVERAGEIFS($C$10:$C$169,$J$10:$J$169,32,$K$10:$K$169,$O37))</x:f>
        <x:v>0.78</x:v>
      </x:c>
      <x:c r="S37" s="13" t="n">
        <x:f>IF(COUNTIFS($J$10:$J$169,40,$K$10:$K$169,$O37)=0,"待测",AVERAGEIFS($C$10:$C$169,$J$10:$J$169,40,$K$10:$K$169,$O37))</x:f>
        <x:v>0.92</x:v>
      </x:c>
      <x:c r="T37" s="13" t="n">
        <x:f>AVERAGEIFS('完整回复'!$I$9:$I$104,'完整回复'!$F$9:$F$104,$O37)</x:f>
        <x:v>0.9766666666666666</x:v>
      </x:c>
      <x:c r="U37" s="13" t="n">
        <x:f>IF(COUNTIFS($J$10:$J$169,64,$K$10:$K$169,$O37)=0,"待测",AVERAGEIFS($C$10:$C$169,$J$10:$J$169,64,$K$10:$K$169,$O37))</x:f>
        <x:v>0.95</x:v>
      </x:c>
    </x:row>
    <x:row r="38" ht="28" customHeight="1">
      <x:c r="A38" s="10" t="str">
        <x:v>px16-g29</x:v>
      </x:c>
      <x:c r="B38" s="10" t="n">
        <x:v>0</x:v>
      </x:c>
      <x:c r="C38" s="12" t="n">
        <x:f>B38/100</x:f>
        <x:v>0</x:v>
      </x:c>
      <x:c r="D38" s="10" t="n">
        <x:v>0</x:v>
      </x:c>
      <x:c r="E38" s="10" t="n">
        <x:v>100</x:v>
      </x:c>
      <x:c r="F38" s="10" t="n">
        <x:v>0</x:v>
      </x:c>
      <x:c r="G38" s="10" t="n">
        <x:v>0</x:v>
      </x:c>
      <x:c r="H38" s="11" t="str">
        <x:v>最大亮度</x:v>
      </x:c>
      <x:c r="I38" s="11" t="str">
        <x:v>不可读</x:v>
      </x:c>
      <x:c r="J38" s="9" t="n">
        <x:v>16</x:v>
      </x:c>
      <x:c r="K38" s="9" t="n">
        <x:v>29</x:v>
      </x:c>
      <x:c r="L38" s="9" t="n">
        <x:v>1</x:v>
      </x:c>
      <x:c r="M38" s="13" t="n">
        <x:f>(D38+E38+F38)/100</x:f>
        <x:v>1</x:v>
      </x:c>
      <x:c r="O38" s="9" t="n">
        <x:v>29</x:v>
      </x:c>
      <x:c r="P38" s="13" t="n">
        <x:f>IF(COUNTIFS($J$10:$J$169,16,$K$10:$K$169,$O38)=0,"待测",AVERAGEIFS($C$10:$C$169,$J$10:$J$169,16,$K$10:$K$169,$O38))</x:f>
        <x:v>0</x:v>
      </x:c>
      <x:c r="Q38" s="13" t="n">
        <x:f>IF(COUNTIFS($J$10:$J$169,24,$K$10:$K$169,$O38)=0,"待测",AVERAGEIFS($C$10:$C$169,$J$10:$J$169,24,$K$10:$K$169,$O38))</x:f>
        <x:v>0</x:v>
      </x:c>
      <x:c r="R38" s="13" t="n">
        <x:f>IF(COUNTIFS($J$10:$J$169,32,$K$10:$K$169,$O38)=0,"待测",AVERAGEIFS($C$10:$C$169,$J$10:$J$169,32,$K$10:$K$169,$O38))</x:f>
        <x:v>0.84</x:v>
      </x:c>
      <x:c r="S38" s="13" t="n">
        <x:f>IF(COUNTIFS($J$10:$J$169,40,$K$10:$K$169,$O38)=0,"待测",AVERAGEIFS($C$10:$C$169,$J$10:$J$169,40,$K$10:$K$169,$O38))</x:f>
        <x:v>0.95</x:v>
      </x:c>
      <x:c r="T38" s="13" t="n">
        <x:f>AVERAGEIFS('完整回复'!$I$9:$I$104,'完整回复'!$F$9:$F$104,$O38)</x:f>
        <x:v>0.9700000000000001</x:v>
      </x:c>
      <x:c r="U38" s="13" t="n">
        <x:f>IF(COUNTIFS($J$10:$J$169,64,$K$10:$K$169,$O38)=0,"待测",AVERAGEIFS($C$10:$C$169,$J$10:$J$169,64,$K$10:$K$169,$O38))</x:f>
        <x:v>0.98</x:v>
      </x:c>
    </x:row>
    <x:row r="39" ht="28" customHeight="1">
      <x:c r="A39" s="10" t="str">
        <x:v>px16-g30</x:v>
      </x:c>
      <x:c r="B39" s="10" t="n">
        <x:v>0</x:v>
      </x:c>
      <x:c r="C39" s="12" t="n">
        <x:f>B39/100</x:f>
        <x:v>0</x:v>
      </x:c>
      <x:c r="D39" s="10" t="n">
        <x:v>0</x:v>
      </x:c>
      <x:c r="E39" s="10" t="n">
        <x:v>100</x:v>
      </x:c>
      <x:c r="F39" s="10" t="n">
        <x:v>0</x:v>
      </x:c>
      <x:c r="G39" s="10" t="n">
        <x:v>0</x:v>
      </x:c>
      <x:c r="H39" s="11" t="str">
        <x:v>最大亮度</x:v>
      </x:c>
      <x:c r="I39" s="11" t="str">
        <x:v>不可读</x:v>
      </x:c>
      <x:c r="J39" s="9" t="n">
        <x:v>16</x:v>
      </x:c>
      <x:c r="K39" s="9" t="n">
        <x:v>30</x:v>
      </x:c>
      <x:c r="L39" s="9" t="n">
        <x:v>1</x:v>
      </x:c>
      <x:c r="M39" s="13" t="n">
        <x:f>(D39+E39+F39)/100</x:f>
        <x:v>1</x:v>
      </x:c>
      <x:c r="O39" s="9" t="n">
        <x:v>30</x:v>
      </x:c>
      <x:c r="P39" s="13" t="n">
        <x:f>IF(COUNTIFS($J$10:$J$169,16,$K$10:$K$169,$O39)=0,"待测",AVERAGEIFS($C$10:$C$169,$J$10:$J$169,16,$K$10:$K$169,$O39))</x:f>
        <x:v>0</x:v>
      </x:c>
      <x:c r="Q39" s="13" t="n">
        <x:f>IF(COUNTIFS($J$10:$J$169,24,$K$10:$K$169,$O39)=0,"待测",AVERAGEIFS($C$10:$C$169,$J$10:$J$169,24,$K$10:$K$169,$O39))</x:f>
        <x:v>0</x:v>
      </x:c>
      <x:c r="R39" s="13" t="n">
        <x:f>IF(COUNTIFS($J$10:$J$169,32,$K$10:$K$169,$O39)=0,"待测",AVERAGEIFS($C$10:$C$169,$J$10:$J$169,32,$K$10:$K$169,$O39))</x:f>
        <x:v>0.81</x:v>
      </x:c>
      <x:c r="S39" s="13" t="n">
        <x:f>IF(COUNTIFS($J$10:$J$169,40,$K$10:$K$169,$O39)=0,"待测",AVERAGEIFS($C$10:$C$169,$J$10:$J$169,40,$K$10:$K$169,$O39))</x:f>
        <x:v>0.96</x:v>
      </x:c>
      <x:c r="T39" s="13" t="n">
        <x:f>AVERAGEIFS('完整回复'!$I$9:$I$104,'完整回复'!$F$9:$F$104,$O39)</x:f>
        <x:v>0.9666666666666667</x:v>
      </x:c>
      <x:c r="U39" s="13" t="n">
        <x:f>IF(COUNTIFS($J$10:$J$169,64,$K$10:$K$169,$O39)=0,"待测",AVERAGEIFS($C$10:$C$169,$J$10:$J$169,64,$K$10:$K$169,$O39))</x:f>
        <x:v>0.98</x:v>
      </x:c>
    </x:row>
    <x:row r="40" ht="28" customHeight="1">
      <x:c r="A40" s="10" t="str">
        <x:v>px16-g31</x:v>
      </x:c>
      <x:c r="B40" s="10" t="n">
        <x:v>0</x:v>
      </x:c>
      <x:c r="C40" s="12" t="n">
        <x:f>B40/100</x:f>
        <x:v>0</x:v>
      </x:c>
      <x:c r="D40" s="10" t="n">
        <x:v>0</x:v>
      </x:c>
      <x:c r="E40" s="10" t="n">
        <x:v>100</x:v>
      </x:c>
      <x:c r="F40" s="10" t="n">
        <x:v>0</x:v>
      </x:c>
      <x:c r="G40" s="10" t="n">
        <x:v>0</x:v>
      </x:c>
      <x:c r="H40" s="11" t="str">
        <x:v>最大亮度</x:v>
      </x:c>
      <x:c r="I40" s="11" t="str">
        <x:v>不可读</x:v>
      </x:c>
      <x:c r="J40" s="9" t="n">
        <x:v>16</x:v>
      </x:c>
      <x:c r="K40" s="9" t="n">
        <x:v>31</x:v>
      </x:c>
      <x:c r="L40" s="9" t="n">
        <x:v>1</x:v>
      </x:c>
      <x:c r="M40" s="13" t="n">
        <x:f>(D40+E40+F40)/100</x:f>
        <x:v>1</x:v>
      </x:c>
      <x:c r="O40" s="9" t="n">
        <x:v>31</x:v>
      </x:c>
      <x:c r="P40" s="13" t="n">
        <x:f>IF(COUNTIFS($J$10:$J$169,16,$K$10:$K$169,$O40)=0,"待测",AVERAGEIFS($C$10:$C$169,$J$10:$J$169,16,$K$10:$K$169,$O40))</x:f>
        <x:v>0</x:v>
      </x:c>
      <x:c r="Q40" s="13" t="n">
        <x:f>IF(COUNTIFS($J$10:$J$169,24,$K$10:$K$169,$O40)=0,"待测",AVERAGEIFS($C$10:$C$169,$J$10:$J$169,24,$K$10:$K$169,$O40))</x:f>
        <x:v>0</x:v>
      </x:c>
      <x:c r="R40" s="13" t="n">
        <x:f>IF(COUNTIFS($J$10:$J$169,32,$K$10:$K$169,$O40)=0,"待测",AVERAGEIFS($C$10:$C$169,$J$10:$J$169,32,$K$10:$K$169,$O40))</x:f>
        <x:v>0.87</x:v>
      </x:c>
      <x:c r="S40" s="13" t="n">
        <x:f>IF(COUNTIFS($J$10:$J$169,40,$K$10:$K$169,$O40)=0,"待测",AVERAGEIFS($C$10:$C$169,$J$10:$J$169,40,$K$10:$K$169,$O40))</x:f>
        <x:v>0.95</x:v>
      </x:c>
      <x:c r="T40" s="13" t="n">
        <x:f>AVERAGEIFS('完整回复'!$I$9:$I$104,'完整回复'!$F$9:$F$104,$O40)</x:f>
        <x:v>0.98</x:v>
      </x:c>
      <x:c r="U40" s="13" t="n">
        <x:f>IF(COUNTIFS($J$10:$J$169,64,$K$10:$K$169,$O40)=0,"待测",AVERAGEIFS($C$10:$C$169,$J$10:$J$169,64,$K$10:$K$169,$O40))</x:f>
        <x:v>0.97</x:v>
      </x:c>
    </x:row>
    <x:row r="41" ht="28" customHeight="1">
      <x:c r="A41" s="10" t="str">
        <x:v>px16-g32</x:v>
      </x:c>
      <x:c r="B41" s="10" t="n">
        <x:v>0</x:v>
      </x:c>
      <x:c r="C41" s="12" t="n">
        <x:f>B41/100</x:f>
        <x:v>0</x:v>
      </x:c>
      <x:c r="D41" s="10" t="n">
        <x:v>0</x:v>
      </x:c>
      <x:c r="E41" s="10" t="n">
        <x:v>100</x:v>
      </x:c>
      <x:c r="F41" s="10" t="n">
        <x:v>0</x:v>
      </x:c>
      <x:c r="G41" s="10" t="n">
        <x:v>0</x:v>
      </x:c>
      <x:c r="H41" s="11" t="str">
        <x:v>最大亮度</x:v>
      </x:c>
      <x:c r="I41" s="11" t="str">
        <x:v>不可读</x:v>
      </x:c>
      <x:c r="J41" s="9" t="n">
        <x:v>16</x:v>
      </x:c>
      <x:c r="K41" s="9" t="n">
        <x:v>32</x:v>
      </x:c>
      <x:c r="L41" s="9" t="n">
        <x:v>1</x:v>
      </x:c>
      <x:c r="M41" s="13" t="n">
        <x:f>(D41+E41+F41)/100</x:f>
        <x:v>1</x:v>
      </x:c>
      <x:c r="O41" s="9" t="n">
        <x:v>32</x:v>
      </x:c>
      <x:c r="P41" s="13" t="n">
        <x:f>IF(COUNTIFS($J$10:$J$169,16,$K$10:$K$169,$O41)=0,"待测",AVERAGEIFS($C$10:$C$169,$J$10:$J$169,16,$K$10:$K$169,$O41))</x:f>
        <x:v>0</x:v>
      </x:c>
      <x:c r="Q41" s="13" t="n">
        <x:f>IF(COUNTIFS($J$10:$J$169,24,$K$10:$K$169,$O41)=0,"待测",AVERAGEIFS($C$10:$C$169,$J$10:$J$169,24,$K$10:$K$169,$O41))</x:f>
        <x:v>0</x:v>
      </x:c>
      <x:c r="R41" s="13" t="n">
        <x:f>IF(COUNTIFS($J$10:$J$169,32,$K$10:$K$169,$O41)=0,"待测",AVERAGEIFS($C$10:$C$169,$J$10:$J$169,32,$K$10:$K$169,$O41))</x:f>
        <x:v>0.85</x:v>
      </x:c>
      <x:c r="S41" s="13" t="n">
        <x:f>IF(COUNTIFS($J$10:$J$169,40,$K$10:$K$169,$O41)=0,"待测",AVERAGEIFS($C$10:$C$169,$J$10:$J$169,40,$K$10:$K$169,$O41))</x:f>
        <x:v>0.95</x:v>
      </x:c>
      <x:c r="T41" s="13" t="n">
        <x:f>AVERAGEIFS('完整回复'!$I$9:$I$104,'完整回复'!$F$9:$F$104,$O41)</x:f>
        <x:v>0.9733333333333333</x:v>
      </x:c>
      <x:c r="U41" s="13" t="n">
        <x:f>IF(COUNTIFS($J$10:$J$169,64,$K$10:$K$169,$O41)=0,"待测",AVERAGEIFS($C$10:$C$169,$J$10:$J$169,64,$K$10:$K$169,$O41))</x:f>
        <x:v>0.98</x:v>
      </x:c>
    </x:row>
    <x:row r="42" ht="28" customHeight="1">
      <x:c r="A42" s="10" t="str">
        <x:v>px24-g01</x:v>
      </x:c>
      <x:c r="B42" s="10" t="n">
        <x:v>0</x:v>
      </x:c>
      <x:c r="C42" s="12" t="n">
        <x:f>B42/100</x:f>
        <x:v>0</x:v>
      </x:c>
      <x:c r="D42" s="10" t="n">
        <x:v>0</x:v>
      </x:c>
      <x:c r="E42" s="10" t="n">
        <x:v>100</x:v>
      </x:c>
      <x:c r="F42" s="10" t="n">
        <x:v>0</x:v>
      </x:c>
      <x:c r="G42" s="10" t="n">
        <x:v>0</x:v>
      </x:c>
      <x:c r="H42" s="11" t="str">
        <x:v>最大亮度</x:v>
      </x:c>
      <x:c r="I42" s="11" t="str">
        <x:v>不可读</x:v>
      </x:c>
      <x:c r="J42" s="9" t="n">
        <x:v>24</x:v>
      </x:c>
      <x:c r="K42" s="9" t="n">
        <x:v>1</x:v>
      </x:c>
      <x:c r="L42" s="9" t="n">
        <x:v>1</x:v>
      </x:c>
      <x:c r="M42" s="13" t="n">
        <x:f>(D42+E42+F42)/100</x:f>
        <x:v>1</x:v>
      </x:c>
    </x:row>
    <x:row r="43" ht="28" customHeight="1">
      <x:c r="A43" s="10" t="str">
        <x:v>px24-g02</x:v>
      </x:c>
      <x:c r="B43" s="10" t="n">
        <x:v>0</x:v>
      </x:c>
      <x:c r="C43" s="12" t="n">
        <x:f>B43/100</x:f>
        <x:v>0</x:v>
      </x:c>
      <x:c r="D43" s="10" t="n">
        <x:v>0</x:v>
      </x:c>
      <x:c r="E43" s="10" t="n">
        <x:v>100</x:v>
      </x:c>
      <x:c r="F43" s="10" t="n">
        <x:v>0</x:v>
      </x:c>
      <x:c r="G43" s="10" t="n">
        <x:v>0</x:v>
      </x:c>
      <x:c r="H43" s="11" t="str">
        <x:v>最大亮度</x:v>
      </x:c>
      <x:c r="I43" s="11" t="str">
        <x:v>不可读</x:v>
      </x:c>
      <x:c r="J43" s="9" t="n">
        <x:v>24</x:v>
      </x:c>
      <x:c r="K43" s="9" t="n">
        <x:v>2</x:v>
      </x:c>
      <x:c r="L43" s="9" t="n">
        <x:v>1</x:v>
      </x:c>
      <x:c r="M43" s="13" t="n">
        <x:f>(D43+E43+F43)/100</x:f>
        <x:v>1</x:v>
      </x:c>
    </x:row>
    <x:row r="44" ht="28" customHeight="1">
      <x:c r="A44" s="10" t="str">
        <x:v>px24-g03</x:v>
      </x:c>
      <x:c r="B44" s="10" t="n">
        <x:v>0</x:v>
      </x:c>
      <x:c r="C44" s="12" t="n">
        <x:f>B44/100</x:f>
        <x:v>0</x:v>
      </x:c>
      <x:c r="D44" s="10" t="n">
        <x:v>0</x:v>
      </x:c>
      <x:c r="E44" s="10" t="n">
        <x:v>100</x:v>
      </x:c>
      <x:c r="F44" s="10" t="n">
        <x:v>0</x:v>
      </x:c>
      <x:c r="G44" s="10" t="n">
        <x:v>0</x:v>
      </x:c>
      <x:c r="H44" s="11" t="str">
        <x:v>最大亮度</x:v>
      </x:c>
      <x:c r="I44" s="11" t="str">
        <x:v>不可读</x:v>
      </x:c>
      <x:c r="J44" s="9" t="n">
        <x:v>24</x:v>
      </x:c>
      <x:c r="K44" s="9" t="n">
        <x:v>3</x:v>
      </x:c>
      <x:c r="L44" s="9" t="n">
        <x:v>1</x:v>
      </x:c>
      <x:c r="M44" s="13" t="n">
        <x:f>(D44+E44+F44)/100</x:f>
        <x:v>1</x:v>
      </x:c>
    </x:row>
    <x:row r="45" ht="28" customHeight="1">
      <x:c r="A45" s="10" t="str">
        <x:v>px24-g04</x:v>
      </x:c>
      <x:c r="B45" s="10" t="n">
        <x:v>0</x:v>
      </x:c>
      <x:c r="C45" s="12" t="n">
        <x:f>B45/100</x:f>
        <x:v>0</x:v>
      </x:c>
      <x:c r="D45" s="10" t="n">
        <x:v>0</x:v>
      </x:c>
      <x:c r="E45" s="10" t="n">
        <x:v>100</x:v>
      </x:c>
      <x:c r="F45" s="10" t="n">
        <x:v>0</x:v>
      </x:c>
      <x:c r="G45" s="10" t="n">
        <x:v>0</x:v>
      </x:c>
      <x:c r="H45" s="11" t="str">
        <x:v>最大亮度</x:v>
      </x:c>
      <x:c r="I45" s="11" t="str">
        <x:v>不可读</x:v>
      </x:c>
      <x:c r="J45" s="9" t="n">
        <x:v>24</x:v>
      </x:c>
      <x:c r="K45" s="9" t="n">
        <x:v>4</x:v>
      </x:c>
      <x:c r="L45" s="9" t="n">
        <x:v>1</x:v>
      </x:c>
      <x:c r="M45" s="13" t="n">
        <x:f>(D45+E45+F45)/100</x:f>
        <x:v>1</x:v>
      </x:c>
    </x:row>
    <x:row r="46" ht="28" customHeight="1">
      <x:c r="A46" s="10" t="str">
        <x:v>px24-g05</x:v>
      </x:c>
      <x:c r="B46" s="10" t="n">
        <x:v>0</x:v>
      </x:c>
      <x:c r="C46" s="12" t="n">
        <x:f>B46/100</x:f>
        <x:v>0</x:v>
      </x:c>
      <x:c r="D46" s="10" t="n">
        <x:v>0</x:v>
      </x:c>
      <x:c r="E46" s="10" t="n">
        <x:v>100</x:v>
      </x:c>
      <x:c r="F46" s="10" t="n">
        <x:v>0</x:v>
      </x:c>
      <x:c r="G46" s="10" t="n">
        <x:v>0</x:v>
      </x:c>
      <x:c r="H46" s="11" t="str">
        <x:v>最大亮度</x:v>
      </x:c>
      <x:c r="I46" s="11" t="str">
        <x:v>不可读</x:v>
      </x:c>
      <x:c r="J46" s="9" t="n">
        <x:v>24</x:v>
      </x:c>
      <x:c r="K46" s="9" t="n">
        <x:v>5</x:v>
      </x:c>
      <x:c r="L46" s="9" t="n">
        <x:v>1</x:v>
      </x:c>
      <x:c r="M46" s="13" t="n">
        <x:f>(D46+E46+F46)/100</x:f>
        <x:v>1</x:v>
      </x:c>
    </x:row>
    <x:row r="47" ht="28" customHeight="1">
      <x:c r="A47" s="10" t="str">
        <x:v>px24-g06</x:v>
      </x:c>
      <x:c r="B47" s="10" t="n">
        <x:v>0</x:v>
      </x:c>
      <x:c r="C47" s="12" t="n">
        <x:f>B47/100</x:f>
        <x:v>0</x:v>
      </x:c>
      <x:c r="D47" s="10" t="n">
        <x:v>0</x:v>
      </x:c>
      <x:c r="E47" s="10" t="n">
        <x:v>100</x:v>
      </x:c>
      <x:c r="F47" s="10" t="n">
        <x:v>0</x:v>
      </x:c>
      <x:c r="G47" s="10" t="n">
        <x:v>0</x:v>
      </x:c>
      <x:c r="H47" s="11" t="str">
        <x:v>最大亮度</x:v>
      </x:c>
      <x:c r="I47" s="11" t="str">
        <x:v>不可读</x:v>
      </x:c>
      <x:c r="J47" s="9" t="n">
        <x:v>24</x:v>
      </x:c>
      <x:c r="K47" s="9" t="n">
        <x:v>6</x:v>
      </x:c>
      <x:c r="L47" s="9" t="n">
        <x:v>1</x:v>
      </x:c>
      <x:c r="M47" s="13" t="n">
        <x:f>(D47+E47+F47)/100</x:f>
        <x:v>1</x:v>
      </x:c>
    </x:row>
    <x:row r="48" ht="28" customHeight="1">
      <x:c r="A48" s="10" t="str">
        <x:v>px24-g07</x:v>
      </x:c>
      <x:c r="B48" s="10" t="n">
        <x:v>0</x:v>
      </x:c>
      <x:c r="C48" s="12" t="n">
        <x:f>B48/100</x:f>
        <x:v>0</x:v>
      </x:c>
      <x:c r="D48" s="10" t="n">
        <x:v>0</x:v>
      </x:c>
      <x:c r="E48" s="10" t="n">
        <x:v>100</x:v>
      </x:c>
      <x:c r="F48" s="10" t="n">
        <x:v>0</x:v>
      </x:c>
      <x:c r="G48" s="10" t="n">
        <x:v>0</x:v>
      </x:c>
      <x:c r="H48" s="11" t="str">
        <x:v>最大亮度</x:v>
      </x:c>
      <x:c r="I48" s="11" t="str">
        <x:v>不可读</x:v>
      </x:c>
      <x:c r="J48" s="9" t="n">
        <x:v>24</x:v>
      </x:c>
      <x:c r="K48" s="9" t="n">
        <x:v>7</x:v>
      </x:c>
      <x:c r="L48" s="9" t="n">
        <x:v>1</x:v>
      </x:c>
      <x:c r="M48" s="13" t="n">
        <x:f>(D48+E48+F48)/100</x:f>
        <x:v>1</x:v>
      </x:c>
    </x:row>
    <x:row r="49" ht="28" customHeight="1">
      <x:c r="A49" s="10" t="str">
        <x:v>px24-g08</x:v>
      </x:c>
      <x:c r="B49" s="10" t="n">
        <x:v>0</x:v>
      </x:c>
      <x:c r="C49" s="12" t="n">
        <x:f>B49/100</x:f>
        <x:v>0</x:v>
      </x:c>
      <x:c r="D49" s="10" t="n">
        <x:v>0</x:v>
      </x:c>
      <x:c r="E49" s="10" t="n">
        <x:v>100</x:v>
      </x:c>
      <x:c r="F49" s="10" t="n">
        <x:v>0</x:v>
      </x:c>
      <x:c r="G49" s="10" t="n">
        <x:v>0</x:v>
      </x:c>
      <x:c r="H49" s="11" t="str">
        <x:v>最大亮度</x:v>
      </x:c>
      <x:c r="I49" s="11" t="str">
        <x:v>不可读</x:v>
      </x:c>
      <x:c r="J49" s="9" t="n">
        <x:v>24</x:v>
      </x:c>
      <x:c r="K49" s="9" t="n">
        <x:v>8</x:v>
      </x:c>
      <x:c r="L49" s="9" t="n">
        <x:v>1</x:v>
      </x:c>
      <x:c r="M49" s="13" t="n">
        <x:f>(D49+E49+F49)/100</x:f>
        <x:v>1</x:v>
      </x:c>
    </x:row>
    <x:row r="50" ht="28" customHeight="1">
      <x:c r="A50" s="10" t="str">
        <x:v>px24-g09</x:v>
      </x:c>
      <x:c r="B50" s="10" t="n">
        <x:v>0</x:v>
      </x:c>
      <x:c r="C50" s="12" t="n">
        <x:f>B50/100</x:f>
        <x:v>0</x:v>
      </x:c>
      <x:c r="D50" s="10" t="n">
        <x:v>0</x:v>
      </x:c>
      <x:c r="E50" s="10" t="n">
        <x:v>100</x:v>
      </x:c>
      <x:c r="F50" s="10" t="n">
        <x:v>0</x:v>
      </x:c>
      <x:c r="G50" s="10" t="n">
        <x:v>0</x:v>
      </x:c>
      <x:c r="H50" s="11" t="str">
        <x:v>最大亮度</x:v>
      </x:c>
      <x:c r="I50" s="11" t="str">
        <x:v>不可读</x:v>
      </x:c>
      <x:c r="J50" s="9" t="n">
        <x:v>24</x:v>
      </x:c>
      <x:c r="K50" s="9" t="n">
        <x:v>9</x:v>
      </x:c>
      <x:c r="L50" s="9" t="n">
        <x:v>1</x:v>
      </x:c>
      <x:c r="M50" s="13" t="n">
        <x:f>(D50+E50+F50)/100</x:f>
        <x:v>1</x:v>
      </x:c>
    </x:row>
    <x:row r="51" ht="28" customHeight="1">
      <x:c r="A51" s="10" t="str">
        <x:v>px24-g10</x:v>
      </x:c>
      <x:c r="B51" s="10" t="n">
        <x:v>0</x:v>
      </x:c>
      <x:c r="C51" s="12" t="n">
        <x:f>B51/100</x:f>
        <x:v>0</x:v>
      </x:c>
      <x:c r="D51" s="10" t="n">
        <x:v>0</x:v>
      </x:c>
      <x:c r="E51" s="10" t="n">
        <x:v>100</x:v>
      </x:c>
      <x:c r="F51" s="10" t="n">
        <x:v>0</x:v>
      </x:c>
      <x:c r="G51" s="10" t="n">
        <x:v>0</x:v>
      </x:c>
      <x:c r="H51" s="11" t="str">
        <x:v>最大亮度</x:v>
      </x:c>
      <x:c r="I51" s="11" t="str">
        <x:v>不可读</x:v>
      </x:c>
      <x:c r="J51" s="9" t="n">
        <x:v>24</x:v>
      </x:c>
      <x:c r="K51" s="9" t="n">
        <x:v>10</x:v>
      </x:c>
      <x:c r="L51" s="9" t="n">
        <x:v>1</x:v>
      </x:c>
      <x:c r="M51" s="13" t="n">
        <x:f>(D51+E51+F51)/100</x:f>
        <x:v>1</x:v>
      </x:c>
    </x:row>
    <x:row r="52" ht="28" customHeight="1">
      <x:c r="A52" s="10" t="str">
        <x:v>px24-g11</x:v>
      </x:c>
      <x:c r="B52" s="10" t="n">
        <x:v>0</x:v>
      </x:c>
      <x:c r="C52" s="12" t="n">
        <x:f>B52/100</x:f>
        <x:v>0</x:v>
      </x:c>
      <x:c r="D52" s="10" t="n">
        <x:v>0</x:v>
      </x:c>
      <x:c r="E52" s="10" t="n">
        <x:v>100</x:v>
      </x:c>
      <x:c r="F52" s="10" t="n">
        <x:v>0</x:v>
      </x:c>
      <x:c r="G52" s="10" t="n">
        <x:v>0</x:v>
      </x:c>
      <x:c r="H52" s="11" t="str">
        <x:v>最大亮度</x:v>
      </x:c>
      <x:c r="I52" s="11" t="str">
        <x:v>不可读</x:v>
      </x:c>
      <x:c r="J52" s="9" t="n">
        <x:v>24</x:v>
      </x:c>
      <x:c r="K52" s="9" t="n">
        <x:v>11</x:v>
      </x:c>
      <x:c r="L52" s="9" t="n">
        <x:v>1</x:v>
      </x:c>
      <x:c r="M52" s="13" t="n">
        <x:f>(D52+E52+F52)/100</x:f>
        <x:v>1</x:v>
      </x:c>
    </x:row>
    <x:row r="53" ht="28" customHeight="1">
      <x:c r="A53" s="10" t="str">
        <x:v>px24-g12</x:v>
      </x:c>
      <x:c r="B53" s="10" t="n">
        <x:v>0</x:v>
      </x:c>
      <x:c r="C53" s="12" t="n">
        <x:f>B53/100</x:f>
        <x:v>0</x:v>
      </x:c>
      <x:c r="D53" s="10" t="n">
        <x:v>0</x:v>
      </x:c>
      <x:c r="E53" s="10" t="n">
        <x:v>100</x:v>
      </x:c>
      <x:c r="F53" s="10" t="n">
        <x:v>0</x:v>
      </x:c>
      <x:c r="G53" s="10" t="n">
        <x:v>0</x:v>
      </x:c>
      <x:c r="H53" s="11" t="str">
        <x:v>最大亮度</x:v>
      </x:c>
      <x:c r="I53" s="11" t="str">
        <x:v>不可读</x:v>
      </x:c>
      <x:c r="J53" s="9" t="n">
        <x:v>24</x:v>
      </x:c>
      <x:c r="K53" s="9" t="n">
        <x:v>12</x:v>
      </x:c>
      <x:c r="L53" s="9" t="n">
        <x:v>1</x:v>
      </x:c>
      <x:c r="M53" s="13" t="n">
        <x:f>(D53+E53+F53)/100</x:f>
        <x:v>1</x:v>
      </x:c>
    </x:row>
    <x:row r="54" ht="28" customHeight="1">
      <x:c r="A54" s="10" t="str">
        <x:v>px24-g13</x:v>
      </x:c>
      <x:c r="B54" s="10" t="n">
        <x:v>0</x:v>
      </x:c>
      <x:c r="C54" s="12" t="n">
        <x:f>B54/100</x:f>
        <x:v>0</x:v>
      </x:c>
      <x:c r="D54" s="10" t="n">
        <x:v>0</x:v>
      </x:c>
      <x:c r="E54" s="10" t="n">
        <x:v>100</x:v>
      </x:c>
      <x:c r="F54" s="10" t="n">
        <x:v>0</x:v>
      </x:c>
      <x:c r="G54" s="10" t="n">
        <x:v>0</x:v>
      </x:c>
      <x:c r="H54" s="11" t="str">
        <x:v>最大亮度</x:v>
      </x:c>
      <x:c r="I54" s="11" t="str">
        <x:v>不可读</x:v>
      </x:c>
      <x:c r="J54" s="9" t="n">
        <x:v>24</x:v>
      </x:c>
      <x:c r="K54" s="9" t="n">
        <x:v>13</x:v>
      </x:c>
      <x:c r="L54" s="9" t="n">
        <x:v>1</x:v>
      </x:c>
      <x:c r="M54" s="13" t="n">
        <x:f>(D54+E54+F54)/100</x:f>
        <x:v>1</x:v>
      </x:c>
    </x:row>
    <x:row r="55" ht="28" customHeight="1">
      <x:c r="A55" s="10" t="str">
        <x:v>px24-g14</x:v>
      </x:c>
      <x:c r="B55" s="10" t="n">
        <x:v>0</x:v>
      </x:c>
      <x:c r="C55" s="12" t="n">
        <x:f>B55/100</x:f>
        <x:v>0</x:v>
      </x:c>
      <x:c r="D55" s="10" t="n">
        <x:v>0</x:v>
      </x:c>
      <x:c r="E55" s="10" t="n">
        <x:v>100</x:v>
      </x:c>
      <x:c r="F55" s="10" t="n">
        <x:v>0</x:v>
      </x:c>
      <x:c r="G55" s="10" t="n">
        <x:v>0</x:v>
      </x:c>
      <x:c r="H55" s="11" t="str">
        <x:v>最大亮度</x:v>
      </x:c>
      <x:c r="I55" s="11" t="str">
        <x:v>不可读</x:v>
      </x:c>
      <x:c r="J55" s="9" t="n">
        <x:v>24</x:v>
      </x:c>
      <x:c r="K55" s="9" t="n">
        <x:v>14</x:v>
      </x:c>
      <x:c r="L55" s="9" t="n">
        <x:v>1</x:v>
      </x:c>
      <x:c r="M55" s="13" t="n">
        <x:f>(D55+E55+F55)/100</x:f>
        <x:v>1</x:v>
      </x:c>
    </x:row>
    <x:row r="56" ht="28" customHeight="1">
      <x:c r="A56" s="10" t="str">
        <x:v>px24-g15</x:v>
      </x:c>
      <x:c r="B56" s="10" t="n">
        <x:v>0</x:v>
      </x:c>
      <x:c r="C56" s="12" t="n">
        <x:f>B56/100</x:f>
        <x:v>0</x:v>
      </x:c>
      <x:c r="D56" s="10" t="n">
        <x:v>0</x:v>
      </x:c>
      <x:c r="E56" s="10" t="n">
        <x:v>100</x:v>
      </x:c>
      <x:c r="F56" s="10" t="n">
        <x:v>0</x:v>
      </x:c>
      <x:c r="G56" s="10" t="n">
        <x:v>0</x:v>
      </x:c>
      <x:c r="H56" s="11" t="str">
        <x:v>最大亮度</x:v>
      </x:c>
      <x:c r="I56" s="11" t="str">
        <x:v>不可读</x:v>
      </x:c>
      <x:c r="J56" s="9" t="n">
        <x:v>24</x:v>
      </x:c>
      <x:c r="K56" s="9" t="n">
        <x:v>15</x:v>
      </x:c>
      <x:c r="L56" s="9" t="n">
        <x:v>1</x:v>
      </x:c>
      <x:c r="M56" s="13" t="n">
        <x:f>(D56+E56+F56)/100</x:f>
        <x:v>1</x:v>
      </x:c>
    </x:row>
    <x:row r="57" ht="28" customHeight="1">
      <x:c r="A57" s="10" t="str">
        <x:v>px24-g16</x:v>
      </x:c>
      <x:c r="B57" s="10" t="n">
        <x:v>0</x:v>
      </x:c>
      <x:c r="C57" s="12" t="n">
        <x:f>B57/100</x:f>
        <x:v>0</x:v>
      </x:c>
      <x:c r="D57" s="10" t="n">
        <x:v>0</x:v>
      </x:c>
      <x:c r="E57" s="10" t="n">
        <x:v>100</x:v>
      </x:c>
      <x:c r="F57" s="10" t="n">
        <x:v>0</x:v>
      </x:c>
      <x:c r="G57" s="10" t="n">
        <x:v>0</x:v>
      </x:c>
      <x:c r="H57" s="11" t="str">
        <x:v>最大亮度</x:v>
      </x:c>
      <x:c r="I57" s="11" t="str">
        <x:v>不可读</x:v>
      </x:c>
      <x:c r="J57" s="9" t="n">
        <x:v>24</x:v>
      </x:c>
      <x:c r="K57" s="9" t="n">
        <x:v>16</x:v>
      </x:c>
      <x:c r="L57" s="9" t="n">
        <x:v>1</x:v>
      </x:c>
      <x:c r="M57" s="13" t="n">
        <x:f>(D57+E57+F57)/100</x:f>
        <x:v>1</x:v>
      </x:c>
    </x:row>
    <x:row r="58" ht="28" customHeight="1">
      <x:c r="A58" s="10" t="str">
        <x:v>px24-g17</x:v>
      </x:c>
      <x:c r="B58" s="10" t="n">
        <x:v>0</x:v>
      </x:c>
      <x:c r="C58" s="12" t="n">
        <x:f>B58/100</x:f>
        <x:v>0</x:v>
      </x:c>
      <x:c r="D58" s="10" t="n">
        <x:v>0</x:v>
      </x:c>
      <x:c r="E58" s="10" t="n">
        <x:v>100</x:v>
      </x:c>
      <x:c r="F58" s="10" t="n">
        <x:v>0</x:v>
      </x:c>
      <x:c r="G58" s="10" t="n">
        <x:v>0</x:v>
      </x:c>
      <x:c r="H58" s="11" t="str">
        <x:v>最大亮度</x:v>
      </x:c>
      <x:c r="I58" s="11" t="str">
        <x:v>不可读</x:v>
      </x:c>
      <x:c r="J58" s="9" t="n">
        <x:v>24</x:v>
      </x:c>
      <x:c r="K58" s="9" t="n">
        <x:v>17</x:v>
      </x:c>
      <x:c r="L58" s="9" t="n">
        <x:v>1</x:v>
      </x:c>
      <x:c r="M58" s="13" t="n">
        <x:f>(D58+E58+F58)/100</x:f>
        <x:v>1</x:v>
      </x:c>
    </x:row>
    <x:row r="59" ht="28" customHeight="1">
      <x:c r="A59" s="10" t="str">
        <x:v>px24-g18</x:v>
      </x:c>
      <x:c r="B59" s="10" t="n">
        <x:v>0</x:v>
      </x:c>
      <x:c r="C59" s="12" t="n">
        <x:f>B59/100</x:f>
        <x:v>0</x:v>
      </x:c>
      <x:c r="D59" s="10" t="n">
        <x:v>0</x:v>
      </x:c>
      <x:c r="E59" s="10" t="n">
        <x:v>100</x:v>
      </x:c>
      <x:c r="F59" s="10" t="n">
        <x:v>0</x:v>
      </x:c>
      <x:c r="G59" s="10" t="n">
        <x:v>0</x:v>
      </x:c>
      <x:c r="H59" s="11" t="str">
        <x:v>最大亮度</x:v>
      </x:c>
      <x:c r="I59" s="11" t="str">
        <x:v>不可读</x:v>
      </x:c>
      <x:c r="J59" s="9" t="n">
        <x:v>24</x:v>
      </x:c>
      <x:c r="K59" s="9" t="n">
        <x:v>18</x:v>
      </x:c>
      <x:c r="L59" s="9" t="n">
        <x:v>1</x:v>
      </x:c>
      <x:c r="M59" s="13" t="n">
        <x:f>(D59+E59+F59)/100</x:f>
        <x:v>1</x:v>
      </x:c>
    </x:row>
    <x:row r="60" ht="28" customHeight="1">
      <x:c r="A60" s="10" t="str">
        <x:v>px24-g19</x:v>
      </x:c>
      <x:c r="B60" s="10" t="n">
        <x:v>0</x:v>
      </x:c>
      <x:c r="C60" s="12" t="n">
        <x:f>B60/100</x:f>
        <x:v>0</x:v>
      </x:c>
      <x:c r="D60" s="10" t="n">
        <x:v>0</x:v>
      </x:c>
      <x:c r="E60" s="10" t="n">
        <x:v>100</x:v>
      </x:c>
      <x:c r="F60" s="10" t="n">
        <x:v>0</x:v>
      </x:c>
      <x:c r="G60" s="10" t="n">
        <x:v>0</x:v>
      </x:c>
      <x:c r="H60" s="11" t="str">
        <x:v>最大亮度</x:v>
      </x:c>
      <x:c r="I60" s="11" t="str">
        <x:v>不可读</x:v>
      </x:c>
      <x:c r="J60" s="9" t="n">
        <x:v>24</x:v>
      </x:c>
      <x:c r="K60" s="9" t="n">
        <x:v>19</x:v>
      </x:c>
      <x:c r="L60" s="9" t="n">
        <x:v>1</x:v>
      </x:c>
      <x:c r="M60" s="13" t="n">
        <x:f>(D60+E60+F60)/100</x:f>
        <x:v>1</x:v>
      </x:c>
    </x:row>
    <x:row r="61" ht="28" customHeight="1">
      <x:c r="A61" s="10" t="str">
        <x:v>px24-g20</x:v>
      </x:c>
      <x:c r="B61" s="10" t="n">
        <x:v>0</x:v>
      </x:c>
      <x:c r="C61" s="12" t="n">
        <x:f>B61/100</x:f>
        <x:v>0</x:v>
      </x:c>
      <x:c r="D61" s="10" t="n">
        <x:v>0</x:v>
      </x:c>
      <x:c r="E61" s="10" t="n">
        <x:v>100</x:v>
      </x:c>
      <x:c r="F61" s="10" t="n">
        <x:v>0</x:v>
      </x:c>
      <x:c r="G61" s="10" t="n">
        <x:v>0</x:v>
      </x:c>
      <x:c r="H61" s="11" t="str">
        <x:v>最大亮度</x:v>
      </x:c>
      <x:c r="I61" s="11" t="str">
        <x:v>不可读</x:v>
      </x:c>
      <x:c r="J61" s="9" t="n">
        <x:v>24</x:v>
      </x:c>
      <x:c r="K61" s="9" t="n">
        <x:v>20</x:v>
      </x:c>
      <x:c r="L61" s="9" t="n">
        <x:v>1</x:v>
      </x:c>
      <x:c r="M61" s="13" t="n">
        <x:f>(D61+E61+F61)/100</x:f>
        <x:v>1</x:v>
      </x:c>
    </x:row>
    <x:row r="62" ht="28" customHeight="1">
      <x:c r="A62" s="10" t="str">
        <x:v>px24-g21</x:v>
      </x:c>
      <x:c r="B62" s="10" t="n">
        <x:v>0</x:v>
      </x:c>
      <x:c r="C62" s="12" t="n">
        <x:f>B62/100</x:f>
        <x:v>0</x:v>
      </x:c>
      <x:c r="D62" s="10" t="n">
        <x:v>0</x:v>
      </x:c>
      <x:c r="E62" s="10" t="n">
        <x:v>100</x:v>
      </x:c>
      <x:c r="F62" s="10" t="n">
        <x:v>0</x:v>
      </x:c>
      <x:c r="G62" s="10" t="n">
        <x:v>0</x:v>
      </x:c>
      <x:c r="H62" s="11" t="str">
        <x:v>最大亮度</x:v>
      </x:c>
      <x:c r="I62" s="11" t="str">
        <x:v>不可读</x:v>
      </x:c>
      <x:c r="J62" s="9" t="n">
        <x:v>24</x:v>
      </x:c>
      <x:c r="K62" s="9" t="n">
        <x:v>21</x:v>
      </x:c>
      <x:c r="L62" s="9" t="n">
        <x:v>1</x:v>
      </x:c>
      <x:c r="M62" s="13" t="n">
        <x:f>(D62+E62+F62)/100</x:f>
        <x:v>1</x:v>
      </x:c>
    </x:row>
    <x:row r="63" ht="28" customHeight="1">
      <x:c r="A63" s="10" t="str">
        <x:v>px24-g22</x:v>
      </x:c>
      <x:c r="B63" s="10" t="n">
        <x:v>0</x:v>
      </x:c>
      <x:c r="C63" s="12" t="n">
        <x:f>B63/100</x:f>
        <x:v>0</x:v>
      </x:c>
      <x:c r="D63" s="10" t="n">
        <x:v>0</x:v>
      </x:c>
      <x:c r="E63" s="10" t="n">
        <x:v>100</x:v>
      </x:c>
      <x:c r="F63" s="10" t="n">
        <x:v>0</x:v>
      </x:c>
      <x:c r="G63" s="10" t="n">
        <x:v>0</x:v>
      </x:c>
      <x:c r="H63" s="11" t="str">
        <x:v>最大亮度</x:v>
      </x:c>
      <x:c r="I63" s="11" t="str">
        <x:v>不可读</x:v>
      </x:c>
      <x:c r="J63" s="9" t="n">
        <x:v>24</x:v>
      </x:c>
      <x:c r="K63" s="9" t="n">
        <x:v>22</x:v>
      </x:c>
      <x:c r="L63" s="9" t="n">
        <x:v>1</x:v>
      </x:c>
      <x:c r="M63" s="13" t="n">
        <x:f>(D63+E63+F63)/100</x:f>
        <x:v>1</x:v>
      </x:c>
    </x:row>
    <x:row r="64" ht="28" customHeight="1">
      <x:c r="A64" s="10" t="str">
        <x:v>px24-g23</x:v>
      </x:c>
      <x:c r="B64" s="10" t="n">
        <x:v>0</x:v>
      </x:c>
      <x:c r="C64" s="12" t="n">
        <x:f>B64/100</x:f>
        <x:v>0</x:v>
      </x:c>
      <x:c r="D64" s="10" t="n">
        <x:v>0</x:v>
      </x:c>
      <x:c r="E64" s="10" t="n">
        <x:v>100</x:v>
      </x:c>
      <x:c r="F64" s="10" t="n">
        <x:v>0</x:v>
      </x:c>
      <x:c r="G64" s="10" t="n">
        <x:v>0</x:v>
      </x:c>
      <x:c r="H64" s="11" t="str">
        <x:v>最大亮度</x:v>
      </x:c>
      <x:c r="I64" s="11" t="str">
        <x:v>不可读</x:v>
      </x:c>
      <x:c r="J64" s="9" t="n">
        <x:v>24</x:v>
      </x:c>
      <x:c r="K64" s="9" t="n">
        <x:v>23</x:v>
      </x:c>
      <x:c r="L64" s="9" t="n">
        <x:v>1</x:v>
      </x:c>
      <x:c r="M64" s="13" t="n">
        <x:f>(D64+E64+F64)/100</x:f>
        <x:v>1</x:v>
      </x:c>
    </x:row>
    <x:row r="65" ht="28" customHeight="1">
      <x:c r="A65" s="10" t="str">
        <x:v>px24-g24</x:v>
      </x:c>
      <x:c r="B65" s="10" t="n">
        <x:v>0</x:v>
      </x:c>
      <x:c r="C65" s="12" t="n">
        <x:f>B65/100</x:f>
        <x:v>0</x:v>
      </x:c>
      <x:c r="D65" s="10" t="n">
        <x:v>0</x:v>
      </x:c>
      <x:c r="E65" s="10" t="n">
        <x:v>100</x:v>
      </x:c>
      <x:c r="F65" s="10" t="n">
        <x:v>0</x:v>
      </x:c>
      <x:c r="G65" s="10" t="n">
        <x:v>0</x:v>
      </x:c>
      <x:c r="H65" s="11" t="str">
        <x:v>最大亮度</x:v>
      </x:c>
      <x:c r="I65" s="11" t="str">
        <x:v>不可读</x:v>
      </x:c>
      <x:c r="J65" s="9" t="n">
        <x:v>24</x:v>
      </x:c>
      <x:c r="K65" s="9" t="n">
        <x:v>24</x:v>
      </x:c>
      <x:c r="L65" s="9" t="n">
        <x:v>1</x:v>
      </x:c>
      <x:c r="M65" s="13" t="n">
        <x:f>(D65+E65+F65)/100</x:f>
        <x:v>1</x:v>
      </x:c>
    </x:row>
    <x:row r="66" ht="28" customHeight="1">
      <x:c r="A66" s="10" t="str">
        <x:v>px24-g25</x:v>
      </x:c>
      <x:c r="B66" s="10" t="n">
        <x:v>0</x:v>
      </x:c>
      <x:c r="C66" s="12" t="n">
        <x:f>B66/100</x:f>
        <x:v>0</x:v>
      </x:c>
      <x:c r="D66" s="10" t="n">
        <x:v>0</x:v>
      </x:c>
      <x:c r="E66" s="10" t="n">
        <x:v>100</x:v>
      </x:c>
      <x:c r="F66" s="10" t="n">
        <x:v>0</x:v>
      </x:c>
      <x:c r="G66" s="10" t="n">
        <x:v>0</x:v>
      </x:c>
      <x:c r="H66" s="11" t="str">
        <x:v>最大亮度</x:v>
      </x:c>
      <x:c r="I66" s="11" t="str">
        <x:v>不可读</x:v>
      </x:c>
      <x:c r="J66" s="9" t="n">
        <x:v>24</x:v>
      </x:c>
      <x:c r="K66" s="9" t="n">
        <x:v>25</x:v>
      </x:c>
      <x:c r="L66" s="9" t="n">
        <x:v>1</x:v>
      </x:c>
      <x:c r="M66" s="13" t="n">
        <x:f>(D66+E66+F66)/100</x:f>
        <x:v>1</x:v>
      </x:c>
    </x:row>
    <x:row r="67" ht="28" customHeight="1">
      <x:c r="A67" s="10" t="str">
        <x:v>px24-g26</x:v>
      </x:c>
      <x:c r="B67" s="10" t="n">
        <x:v>0</x:v>
      </x:c>
      <x:c r="C67" s="12" t="n">
        <x:f>B67/100</x:f>
        <x:v>0</x:v>
      </x:c>
      <x:c r="D67" s="10" t="n">
        <x:v>0</x:v>
      </x:c>
      <x:c r="E67" s="10" t="n">
        <x:v>100</x:v>
      </x:c>
      <x:c r="F67" s="10" t="n">
        <x:v>0</x:v>
      </x:c>
      <x:c r="G67" s="10" t="n">
        <x:v>0</x:v>
      </x:c>
      <x:c r="H67" s="11" t="str">
        <x:v>最大亮度</x:v>
      </x:c>
      <x:c r="I67" s="11" t="str">
        <x:v>不可读</x:v>
      </x:c>
      <x:c r="J67" s="9" t="n">
        <x:v>24</x:v>
      </x:c>
      <x:c r="K67" s="9" t="n">
        <x:v>26</x:v>
      </x:c>
      <x:c r="L67" s="9" t="n">
        <x:v>1</x:v>
      </x:c>
      <x:c r="M67" s="13" t="n">
        <x:f>(D67+E67+F67)/100</x:f>
        <x:v>1</x:v>
      </x:c>
    </x:row>
    <x:row r="68" ht="28" customHeight="1">
      <x:c r="A68" s="10" t="str">
        <x:v>px24-g27</x:v>
      </x:c>
      <x:c r="B68" s="10" t="n">
        <x:v>0</x:v>
      </x:c>
      <x:c r="C68" s="12" t="n">
        <x:f>B68/100</x:f>
        <x:v>0</x:v>
      </x:c>
      <x:c r="D68" s="10" t="n">
        <x:v>0</x:v>
      </x:c>
      <x:c r="E68" s="10" t="n">
        <x:v>100</x:v>
      </x:c>
      <x:c r="F68" s="10" t="n">
        <x:v>0</x:v>
      </x:c>
      <x:c r="G68" s="10" t="n">
        <x:v>0</x:v>
      </x:c>
      <x:c r="H68" s="11" t="str">
        <x:v>最大亮度</x:v>
      </x:c>
      <x:c r="I68" s="11" t="str">
        <x:v>不可读</x:v>
      </x:c>
      <x:c r="J68" s="9" t="n">
        <x:v>24</x:v>
      </x:c>
      <x:c r="K68" s="9" t="n">
        <x:v>27</x:v>
      </x:c>
      <x:c r="L68" s="9" t="n">
        <x:v>1</x:v>
      </x:c>
      <x:c r="M68" s="13" t="n">
        <x:f>(D68+E68+F68)/100</x:f>
        <x:v>1</x:v>
      </x:c>
    </x:row>
    <x:row r="69" ht="28" customHeight="1">
      <x:c r="A69" s="10" t="str">
        <x:v>px24-g28</x:v>
      </x:c>
      <x:c r="B69" s="10" t="n">
        <x:v>0</x:v>
      </x:c>
      <x:c r="C69" s="12" t="n">
        <x:f>B69/100</x:f>
        <x:v>0</x:v>
      </x:c>
      <x:c r="D69" s="10" t="n">
        <x:v>0</x:v>
      </x:c>
      <x:c r="E69" s="10" t="n">
        <x:v>100</x:v>
      </x:c>
      <x:c r="F69" s="10" t="n">
        <x:v>0</x:v>
      </x:c>
      <x:c r="G69" s="10" t="n">
        <x:v>0</x:v>
      </x:c>
      <x:c r="H69" s="11" t="str">
        <x:v>最大亮度</x:v>
      </x:c>
      <x:c r="I69" s="11" t="str">
        <x:v>不可读</x:v>
      </x:c>
      <x:c r="J69" s="9" t="n">
        <x:v>24</x:v>
      </x:c>
      <x:c r="K69" s="9" t="n">
        <x:v>28</x:v>
      </x:c>
      <x:c r="L69" s="9" t="n">
        <x:v>1</x:v>
      </x:c>
      <x:c r="M69" s="13" t="n">
        <x:f>(D69+E69+F69)/100</x:f>
        <x:v>1</x:v>
      </x:c>
    </x:row>
    <x:row r="70" ht="28" customHeight="1">
      <x:c r="A70" s="10" t="str">
        <x:v>px24-g29</x:v>
      </x:c>
      <x:c r="B70" s="10" t="n">
        <x:v>0</x:v>
      </x:c>
      <x:c r="C70" s="12" t="n">
        <x:f>B70/100</x:f>
        <x:v>0</x:v>
      </x:c>
      <x:c r="D70" s="10" t="n">
        <x:v>0</x:v>
      </x:c>
      <x:c r="E70" s="10" t="n">
        <x:v>100</x:v>
      </x:c>
      <x:c r="F70" s="10" t="n">
        <x:v>0</x:v>
      </x:c>
      <x:c r="G70" s="10" t="n">
        <x:v>0</x:v>
      </x:c>
      <x:c r="H70" s="11" t="str">
        <x:v>最大亮度</x:v>
      </x:c>
      <x:c r="I70" s="11" t="str">
        <x:v>不可读</x:v>
      </x:c>
      <x:c r="J70" s="9" t="n">
        <x:v>24</x:v>
      </x:c>
      <x:c r="K70" s="9" t="n">
        <x:v>29</x:v>
      </x:c>
      <x:c r="L70" s="9" t="n">
        <x:v>1</x:v>
      </x:c>
      <x:c r="M70" s="13" t="n">
        <x:f>(D70+E70+F70)/100</x:f>
        <x:v>1</x:v>
      </x:c>
    </x:row>
    <x:row r="71" ht="28" customHeight="1">
      <x:c r="A71" s="10" t="str">
        <x:v>px24-g30</x:v>
      </x:c>
      <x:c r="B71" s="10" t="n">
        <x:v>0</x:v>
      </x:c>
      <x:c r="C71" s="12" t="n">
        <x:f>B71/100</x:f>
        <x:v>0</x:v>
      </x:c>
      <x:c r="D71" s="10" t="n">
        <x:v>0</x:v>
      </x:c>
      <x:c r="E71" s="10" t="n">
        <x:v>100</x:v>
      </x:c>
      <x:c r="F71" s="10" t="n">
        <x:v>0</x:v>
      </x:c>
      <x:c r="G71" s="10" t="n">
        <x:v>0</x:v>
      </x:c>
      <x:c r="H71" s="11" t="str">
        <x:v>最大亮度</x:v>
      </x:c>
      <x:c r="I71" s="11" t="str">
        <x:v>不可读</x:v>
      </x:c>
      <x:c r="J71" s="9" t="n">
        <x:v>24</x:v>
      </x:c>
      <x:c r="K71" s="9" t="n">
        <x:v>30</x:v>
      </x:c>
      <x:c r="L71" s="9" t="n">
        <x:v>1</x:v>
      </x:c>
      <x:c r="M71" s="13" t="n">
        <x:f>(D71+E71+F71)/100</x:f>
        <x:v>1</x:v>
      </x:c>
    </x:row>
    <x:row r="72" ht="28" customHeight="1">
      <x:c r="A72" s="10" t="str">
        <x:v>px24-g31</x:v>
      </x:c>
      <x:c r="B72" s="10" t="n">
        <x:v>0</x:v>
      </x:c>
      <x:c r="C72" s="12" t="n">
        <x:f>B72/100</x:f>
        <x:v>0</x:v>
      </x:c>
      <x:c r="D72" s="10" t="n">
        <x:v>0</x:v>
      </x:c>
      <x:c r="E72" s="10" t="n">
        <x:v>100</x:v>
      </x:c>
      <x:c r="F72" s="10" t="n">
        <x:v>0</x:v>
      </x:c>
      <x:c r="G72" s="10" t="n">
        <x:v>0</x:v>
      </x:c>
      <x:c r="H72" s="11" t="str">
        <x:v>最大亮度</x:v>
      </x:c>
      <x:c r="I72" s="11" t="str">
        <x:v>不可读</x:v>
      </x:c>
      <x:c r="J72" s="9" t="n">
        <x:v>24</x:v>
      </x:c>
      <x:c r="K72" s="9" t="n">
        <x:v>31</x:v>
      </x:c>
      <x:c r="L72" s="9" t="n">
        <x:v>1</x:v>
      </x:c>
      <x:c r="M72" s="13" t="n">
        <x:f>(D72+E72+F72)/100</x:f>
        <x:v>1</x:v>
      </x:c>
    </x:row>
    <x:row r="73" ht="28" customHeight="1">
      <x:c r="A73" s="10" t="str">
        <x:v>px24-g32</x:v>
      </x:c>
      <x:c r="B73" s="10" t="n">
        <x:v>0</x:v>
      </x:c>
      <x:c r="C73" s="12" t="n">
        <x:f>B73/100</x:f>
        <x:v>0</x:v>
      </x:c>
      <x:c r="D73" s="10" t="n">
        <x:v>0</x:v>
      </x:c>
      <x:c r="E73" s="10" t="n">
        <x:v>100</x:v>
      </x:c>
      <x:c r="F73" s="10" t="n">
        <x:v>0</x:v>
      </x:c>
      <x:c r="G73" s="10" t="n">
        <x:v>0</x:v>
      </x:c>
      <x:c r="H73" s="11" t="str">
        <x:v>最大亮度</x:v>
      </x:c>
      <x:c r="I73" s="11" t="str">
        <x:v>不可读</x:v>
      </x:c>
      <x:c r="J73" s="9" t="n">
        <x:v>24</x:v>
      </x:c>
      <x:c r="K73" s="9" t="n">
        <x:v>32</x:v>
      </x:c>
      <x:c r="L73" s="9" t="n">
        <x:v>1</x:v>
      </x:c>
      <x:c r="M73" s="13" t="n">
        <x:f>(D73+E73+F73)/100</x:f>
        <x:v>1</x:v>
      </x:c>
    </x:row>
    <x:row r="74" ht="28" customHeight="1">
      <x:c r="A74" s="10" t="str">
        <x:v>px32-g01</x:v>
      </x:c>
      <x:c r="B74" s="10" t="n">
        <x:v>0</x:v>
      </x:c>
      <x:c r="C74" s="12" t="n">
        <x:f>B74/100</x:f>
        <x:v>0</x:v>
      </x:c>
      <x:c r="D74" s="10" t="n">
        <x:v>0</x:v>
      </x:c>
      <x:c r="E74" s="10" t="n">
        <x:v>100</x:v>
      </x:c>
      <x:c r="F74" s="10" t="n">
        <x:v>0</x:v>
      </x:c>
      <x:c r="G74" s="10" t="n">
        <x:v>0</x:v>
      </x:c>
      <x:c r="H74" s="11" t="str">
        <x:v>最大亮度</x:v>
      </x:c>
      <x:c r="I74" s="11" t="str">
        <x:v>不可读</x:v>
      </x:c>
      <x:c r="J74" s="9" t="n">
        <x:v>32</x:v>
      </x:c>
      <x:c r="K74" s="9" t="n">
        <x:v>1</x:v>
      </x:c>
      <x:c r="L74" s="9" t="n">
        <x:v>1</x:v>
      </x:c>
      <x:c r="M74" s="13" t="n">
        <x:f>(D74+E74+F74)/100</x:f>
        <x:v>1</x:v>
      </x:c>
    </x:row>
    <x:row r="75" ht="28" customHeight="1">
      <x:c r="A75" s="10" t="str">
        <x:v>px32-g02</x:v>
      </x:c>
      <x:c r="B75" s="10" t="n">
        <x:v>0</x:v>
      </x:c>
      <x:c r="C75" s="12" t="n">
        <x:f>B75/100</x:f>
        <x:v>0</x:v>
      </x:c>
      <x:c r="D75" s="10" t="n">
        <x:v>0</x:v>
      </x:c>
      <x:c r="E75" s="10" t="n">
        <x:v>100</x:v>
      </x:c>
      <x:c r="F75" s="10" t="n">
        <x:v>0</x:v>
      </x:c>
      <x:c r="G75" s="10" t="n">
        <x:v>0</x:v>
      </x:c>
      <x:c r="H75" s="11" t="str">
        <x:v>最大亮度</x:v>
      </x:c>
      <x:c r="I75" s="11" t="str">
        <x:v>不可读</x:v>
      </x:c>
      <x:c r="J75" s="9" t="n">
        <x:v>32</x:v>
      </x:c>
      <x:c r="K75" s="9" t="n">
        <x:v>2</x:v>
      </x:c>
      <x:c r="L75" s="9" t="n">
        <x:v>1</x:v>
      </x:c>
      <x:c r="M75" s="13" t="n">
        <x:f>(D75+E75+F75)/100</x:f>
        <x:v>1</x:v>
      </x:c>
    </x:row>
    <x:row r="76" ht="28" customHeight="1">
      <x:c r="A76" s="10" t="str">
        <x:v>px32-g03</x:v>
      </x:c>
      <x:c r="B76" s="10" t="n">
        <x:v>0</x:v>
      </x:c>
      <x:c r="C76" s="12" t="n">
        <x:f>B76/100</x:f>
        <x:v>0</x:v>
      </x:c>
      <x:c r="D76" s="10" t="n">
        <x:v>0</x:v>
      </x:c>
      <x:c r="E76" s="10" t="n">
        <x:v>100</x:v>
      </x:c>
      <x:c r="F76" s="10" t="n">
        <x:v>0</x:v>
      </x:c>
      <x:c r="G76" s="10" t="n">
        <x:v>0</x:v>
      </x:c>
      <x:c r="H76" s="11" t="str">
        <x:v>最大亮度</x:v>
      </x:c>
      <x:c r="I76" s="11" t="str">
        <x:v>不可读</x:v>
      </x:c>
      <x:c r="J76" s="9" t="n">
        <x:v>32</x:v>
      </x:c>
      <x:c r="K76" s="9" t="n">
        <x:v>3</x:v>
      </x:c>
      <x:c r="L76" s="9" t="n">
        <x:v>1</x:v>
      </x:c>
      <x:c r="M76" s="13" t="n">
        <x:f>(D76+E76+F76)/100</x:f>
        <x:v>1</x:v>
      </x:c>
    </x:row>
    <x:row r="77" ht="28" customHeight="1">
      <x:c r="A77" s="10" t="str">
        <x:v>px32-g04</x:v>
      </x:c>
      <x:c r="B77" s="10" t="n">
        <x:v>0</x:v>
      </x:c>
      <x:c r="C77" s="12" t="n">
        <x:f>B77/100</x:f>
        <x:v>0</x:v>
      </x:c>
      <x:c r="D77" s="10" t="n">
        <x:v>0</x:v>
      </x:c>
      <x:c r="E77" s="10" t="n">
        <x:v>100</x:v>
      </x:c>
      <x:c r="F77" s="10" t="n">
        <x:v>0</x:v>
      </x:c>
      <x:c r="G77" s="10" t="n">
        <x:v>0</x:v>
      </x:c>
      <x:c r="H77" s="11" t="str">
        <x:v>最大亮度</x:v>
      </x:c>
      <x:c r="I77" s="11" t="str">
        <x:v>不可读</x:v>
      </x:c>
      <x:c r="J77" s="9" t="n">
        <x:v>32</x:v>
      </x:c>
      <x:c r="K77" s="9" t="n">
        <x:v>4</x:v>
      </x:c>
      <x:c r="L77" s="9" t="n">
        <x:v>1</x:v>
      </x:c>
      <x:c r="M77" s="13" t="n">
        <x:f>(D77+E77+F77)/100</x:f>
        <x:v>1</x:v>
      </x:c>
    </x:row>
    <x:row r="78" ht="28" customHeight="1">
      <x:c r="A78" s="10" t="str">
        <x:v>px32-g05</x:v>
      </x:c>
      <x:c r="B78" s="10" t="n">
        <x:v>0</x:v>
      </x:c>
      <x:c r="C78" s="12" t="n">
        <x:f>B78/100</x:f>
        <x:v>0</x:v>
      </x:c>
      <x:c r="D78" s="10" t="n">
        <x:v>0</x:v>
      </x:c>
      <x:c r="E78" s="10" t="n">
        <x:v>100</x:v>
      </x:c>
      <x:c r="F78" s="10" t="n">
        <x:v>0</x:v>
      </x:c>
      <x:c r="G78" s="10" t="n">
        <x:v>0</x:v>
      </x:c>
      <x:c r="H78" s="11" t="str">
        <x:v>最大亮度</x:v>
      </x:c>
      <x:c r="I78" s="11" t="str">
        <x:v>不可读</x:v>
      </x:c>
      <x:c r="J78" s="9" t="n">
        <x:v>32</x:v>
      </x:c>
      <x:c r="K78" s="9" t="n">
        <x:v>5</x:v>
      </x:c>
      <x:c r="L78" s="9" t="n">
        <x:v>1</x:v>
      </x:c>
      <x:c r="M78" s="13" t="n">
        <x:f>(D78+E78+F78)/100</x:f>
        <x:v>1</x:v>
      </x:c>
    </x:row>
    <x:row r="79" ht="28" customHeight="1">
      <x:c r="A79" s="10" t="str">
        <x:v>px32-g06</x:v>
      </x:c>
      <x:c r="B79" s="10" t="n">
        <x:v>0</x:v>
      </x:c>
      <x:c r="C79" s="12" t="n">
        <x:f>B79/100</x:f>
        <x:v>0</x:v>
      </x:c>
      <x:c r="D79" s="10" t="n">
        <x:v>0</x:v>
      </x:c>
      <x:c r="E79" s="10" t="n">
        <x:v>100</x:v>
      </x:c>
      <x:c r="F79" s="10" t="n">
        <x:v>0</x:v>
      </x:c>
      <x:c r="G79" s="10" t="n">
        <x:v>0</x:v>
      </x:c>
      <x:c r="H79" s="11" t="str">
        <x:v>最大亮度</x:v>
      </x:c>
      <x:c r="I79" s="11" t="str">
        <x:v>不可读</x:v>
      </x:c>
      <x:c r="J79" s="9" t="n">
        <x:v>32</x:v>
      </x:c>
      <x:c r="K79" s="9" t="n">
        <x:v>6</x:v>
      </x:c>
      <x:c r="L79" s="9" t="n">
        <x:v>1</x:v>
      </x:c>
      <x:c r="M79" s="13" t="n">
        <x:f>(D79+E79+F79)/100</x:f>
        <x:v>1</x:v>
      </x:c>
    </x:row>
    <x:row r="80" ht="28" customHeight="1">
      <x:c r="A80" s="10" t="str">
        <x:v>px32-g07</x:v>
      </x:c>
      <x:c r="B80" s="10" t="n">
        <x:v>0</x:v>
      </x:c>
      <x:c r="C80" s="12" t="n">
        <x:f>B80/100</x:f>
        <x:v>0</x:v>
      </x:c>
      <x:c r="D80" s="10" t="n">
        <x:v>0</x:v>
      </x:c>
      <x:c r="E80" s="10" t="n">
        <x:v>100</x:v>
      </x:c>
      <x:c r="F80" s="10" t="n">
        <x:v>0</x:v>
      </x:c>
      <x:c r="G80" s="10" t="n">
        <x:v>0</x:v>
      </x:c>
      <x:c r="H80" s="11" t="str">
        <x:v>最大亮度</x:v>
      </x:c>
      <x:c r="I80" s="11" t="str">
        <x:v>不可读</x:v>
      </x:c>
      <x:c r="J80" s="9" t="n">
        <x:v>32</x:v>
      </x:c>
      <x:c r="K80" s="9" t="n">
        <x:v>7</x:v>
      </x:c>
      <x:c r="L80" s="9" t="n">
        <x:v>1</x:v>
      </x:c>
      <x:c r="M80" s="13" t="n">
        <x:f>(D80+E80+F80)/100</x:f>
        <x:v>1</x:v>
      </x:c>
    </x:row>
    <x:row r="81" ht="28" customHeight="1">
      <x:c r="A81" s="10" t="str">
        <x:v>px32-g08</x:v>
      </x:c>
      <x:c r="B81" s="10" t="n">
        <x:v>0</x:v>
      </x:c>
      <x:c r="C81" s="12" t="n">
        <x:f>B81/100</x:f>
        <x:v>0</x:v>
      </x:c>
      <x:c r="D81" s="10" t="n">
        <x:v>0</x:v>
      </x:c>
      <x:c r="E81" s="10" t="n">
        <x:v>100</x:v>
      </x:c>
      <x:c r="F81" s="10" t="n">
        <x:v>0</x:v>
      </x:c>
      <x:c r="G81" s="10" t="n">
        <x:v>0</x:v>
      </x:c>
      <x:c r="H81" s="11" t="str">
        <x:v>最大亮度</x:v>
      </x:c>
      <x:c r="I81" s="11" t="str">
        <x:v>不可读</x:v>
      </x:c>
      <x:c r="J81" s="9" t="n">
        <x:v>32</x:v>
      </x:c>
      <x:c r="K81" s="9" t="n">
        <x:v>8</x:v>
      </x:c>
      <x:c r="L81" s="9" t="n">
        <x:v>1</x:v>
      </x:c>
      <x:c r="M81" s="13" t="n">
        <x:f>(D81+E81+F81)/100</x:f>
        <x:v>1</x:v>
      </x:c>
    </x:row>
    <x:row r="82" ht="28" customHeight="1">
      <x:c r="A82" s="10" t="str">
        <x:v>px32-g09</x:v>
      </x:c>
      <x:c r="B82" s="10" t="n">
        <x:v>0</x:v>
      </x:c>
      <x:c r="C82" s="12" t="n">
        <x:f>B82/100</x:f>
        <x:v>0</x:v>
      </x:c>
      <x:c r="D82" s="10" t="n">
        <x:v>0</x:v>
      </x:c>
      <x:c r="E82" s="10" t="n">
        <x:v>100</x:v>
      </x:c>
      <x:c r="F82" s="10" t="n">
        <x:v>0</x:v>
      </x:c>
      <x:c r="G82" s="10" t="n">
        <x:v>0</x:v>
      </x:c>
      <x:c r="H82" s="11" t="str">
        <x:v>最大亮度</x:v>
      </x:c>
      <x:c r="I82" s="11" t="str">
        <x:v>不可读</x:v>
      </x:c>
      <x:c r="J82" s="9" t="n">
        <x:v>32</x:v>
      </x:c>
      <x:c r="K82" s="9" t="n">
        <x:v>9</x:v>
      </x:c>
      <x:c r="L82" s="9" t="n">
        <x:v>1</x:v>
      </x:c>
      <x:c r="M82" s="13" t="n">
        <x:f>(D82+E82+F82)/100</x:f>
        <x:v>1</x:v>
      </x:c>
    </x:row>
    <x:row r="83" ht="28" customHeight="1">
      <x:c r="A83" s="10" t="str">
        <x:v>px32-g10</x:v>
      </x:c>
      <x:c r="B83" s="10" t="n">
        <x:v>0</x:v>
      </x:c>
      <x:c r="C83" s="12" t="n">
        <x:f>B83/100</x:f>
        <x:v>0</x:v>
      </x:c>
      <x:c r="D83" s="10" t="n">
        <x:v>0</x:v>
      </x:c>
      <x:c r="E83" s="10" t="n">
        <x:v>100</x:v>
      </x:c>
      <x:c r="F83" s="10" t="n">
        <x:v>0</x:v>
      </x:c>
      <x:c r="G83" s="10" t="n">
        <x:v>0</x:v>
      </x:c>
      <x:c r="H83" s="11" t="str">
        <x:v>最大亮度</x:v>
      </x:c>
      <x:c r="I83" s="11" t="str">
        <x:v>不可读</x:v>
      </x:c>
      <x:c r="J83" s="9" t="n">
        <x:v>32</x:v>
      </x:c>
      <x:c r="K83" s="9" t="n">
        <x:v>10</x:v>
      </x:c>
      <x:c r="L83" s="9" t="n">
        <x:v>1</x:v>
      </x:c>
      <x:c r="M83" s="13" t="n">
        <x:f>(D83+E83+F83)/100</x:f>
        <x:v>1</x:v>
      </x:c>
    </x:row>
    <x:row r="84" ht="28" customHeight="1">
      <x:c r="A84" s="10" t="str">
        <x:v>px32-g11</x:v>
      </x:c>
      <x:c r="B84" s="10" t="n">
        <x:v>0</x:v>
      </x:c>
      <x:c r="C84" s="12" t="n">
        <x:f>B84/100</x:f>
        <x:v>0</x:v>
      </x:c>
      <x:c r="D84" s="10" t="n">
        <x:v>0</x:v>
      </x:c>
      <x:c r="E84" s="10" t="n">
        <x:v>100</x:v>
      </x:c>
      <x:c r="F84" s="10" t="n">
        <x:v>0</x:v>
      </x:c>
      <x:c r="G84" s="10" t="n">
        <x:v>0</x:v>
      </x:c>
      <x:c r="H84" s="11" t="str">
        <x:v>最大亮度</x:v>
      </x:c>
      <x:c r="I84" s="11" t="str">
        <x:v>不可读</x:v>
      </x:c>
      <x:c r="J84" s="9" t="n">
        <x:v>32</x:v>
      </x:c>
      <x:c r="K84" s="9" t="n">
        <x:v>11</x:v>
      </x:c>
      <x:c r="L84" s="9" t="n">
        <x:v>1</x:v>
      </x:c>
      <x:c r="M84" s="13" t="n">
        <x:f>(D84+E84+F84)/100</x:f>
        <x:v>1</x:v>
      </x:c>
    </x:row>
    <x:row r="85" ht="28" customHeight="1">
      <x:c r="A85" s="10" t="str">
        <x:v>px32-g12</x:v>
      </x:c>
      <x:c r="B85" s="10" t="n">
        <x:v>0</x:v>
      </x:c>
      <x:c r="C85" s="12" t="n">
        <x:f>B85/100</x:f>
        <x:v>0</x:v>
      </x:c>
      <x:c r="D85" s="10" t="n">
        <x:v>0</x:v>
      </x:c>
      <x:c r="E85" s="10" t="n">
        <x:v>100</x:v>
      </x:c>
      <x:c r="F85" s="10" t="n">
        <x:v>0</x:v>
      </x:c>
      <x:c r="G85" s="10" t="n">
        <x:v>0</x:v>
      </x:c>
      <x:c r="H85" s="11" t="str">
        <x:v>最大亮度</x:v>
      </x:c>
      <x:c r="I85" s="11" t="str">
        <x:v>不可读</x:v>
      </x:c>
      <x:c r="J85" s="9" t="n">
        <x:v>32</x:v>
      </x:c>
      <x:c r="K85" s="9" t="n">
        <x:v>12</x:v>
      </x:c>
      <x:c r="L85" s="9" t="n">
        <x:v>1</x:v>
      </x:c>
      <x:c r="M85" s="13" t="n">
        <x:f>(D85+E85+F85)/100</x:f>
        <x:v>1</x:v>
      </x:c>
    </x:row>
    <x:row r="86" ht="28" customHeight="1">
      <x:c r="A86" s="10" t="str">
        <x:v>px32-g13</x:v>
      </x:c>
      <x:c r="B86" s="10" t="n">
        <x:v>0</x:v>
      </x:c>
      <x:c r="C86" s="12" t="n">
        <x:f>B86/100</x:f>
        <x:v>0</x:v>
      </x:c>
      <x:c r="D86" s="10" t="n">
        <x:v>0</x:v>
      </x:c>
      <x:c r="E86" s="10" t="n">
        <x:v>100</x:v>
      </x:c>
      <x:c r="F86" s="10" t="n">
        <x:v>0</x:v>
      </x:c>
      <x:c r="G86" s="10" t="n">
        <x:v>0</x:v>
      </x:c>
      <x:c r="H86" s="11" t="str">
        <x:v>最大亮度</x:v>
      </x:c>
      <x:c r="I86" s="11" t="str">
        <x:v>不可读</x:v>
      </x:c>
      <x:c r="J86" s="9" t="n">
        <x:v>32</x:v>
      </x:c>
      <x:c r="K86" s="9" t="n">
        <x:v>13</x:v>
      </x:c>
      <x:c r="L86" s="9" t="n">
        <x:v>1</x:v>
      </x:c>
      <x:c r="M86" s="13" t="n">
        <x:f>(D86+E86+F86)/100</x:f>
        <x:v>1</x:v>
      </x:c>
    </x:row>
    <x:row r="87" ht="28" customHeight="1">
      <x:c r="A87" s="10" t="str">
        <x:v>px32-g14</x:v>
      </x:c>
      <x:c r="B87" s="10" t="n">
        <x:v>0</x:v>
      </x:c>
      <x:c r="C87" s="12" t="n">
        <x:f>B87/100</x:f>
        <x:v>0</x:v>
      </x:c>
      <x:c r="D87" s="10" t="n">
        <x:v>0</x:v>
      </x:c>
      <x:c r="E87" s="10" t="n">
        <x:v>100</x:v>
      </x:c>
      <x:c r="F87" s="10" t="n">
        <x:v>0</x:v>
      </x:c>
      <x:c r="G87" s="10" t="n">
        <x:v>0</x:v>
      </x:c>
      <x:c r="H87" s="11" t="str">
        <x:v>最大亮度</x:v>
      </x:c>
      <x:c r="I87" s="11" t="str">
        <x:v>不可读</x:v>
      </x:c>
      <x:c r="J87" s="9" t="n">
        <x:v>32</x:v>
      </x:c>
      <x:c r="K87" s="9" t="n">
        <x:v>14</x:v>
      </x:c>
      <x:c r="L87" s="9" t="n">
        <x:v>1</x:v>
      </x:c>
      <x:c r="M87" s="13" t="n">
        <x:f>(D87+E87+F87)/100</x:f>
        <x:v>1</x:v>
      </x:c>
    </x:row>
    <x:row r="88" ht="28" customHeight="1">
      <x:c r="A88" s="10" t="str">
        <x:v>px32-g15</x:v>
      </x:c>
      <x:c r="B88" s="10" t="n">
        <x:v>0</x:v>
      </x:c>
      <x:c r="C88" s="12" t="n">
        <x:f>B88/100</x:f>
        <x:v>0</x:v>
      </x:c>
      <x:c r="D88" s="10" t="n">
        <x:v>0</x:v>
      </x:c>
      <x:c r="E88" s="10" t="n">
        <x:v>100</x:v>
      </x:c>
      <x:c r="F88" s="10" t="n">
        <x:v>0</x:v>
      </x:c>
      <x:c r="G88" s="10" t="n">
        <x:v>0</x:v>
      </x:c>
      <x:c r="H88" s="11" t="str">
        <x:v>最大亮度</x:v>
      </x:c>
      <x:c r="I88" s="11" t="str">
        <x:v>不可读</x:v>
      </x:c>
      <x:c r="J88" s="9" t="n">
        <x:v>32</x:v>
      </x:c>
      <x:c r="K88" s="9" t="n">
        <x:v>15</x:v>
      </x:c>
      <x:c r="L88" s="9" t="n">
        <x:v>1</x:v>
      </x:c>
      <x:c r="M88" s="13" t="n">
        <x:f>(D88+E88+F88)/100</x:f>
        <x:v>1</x:v>
      </x:c>
    </x:row>
    <x:row r="89" ht="28" customHeight="1">
      <x:c r="A89" s="10" t="str">
        <x:v>px32-g16</x:v>
      </x:c>
      <x:c r="B89" s="10" t="n">
        <x:v>0</x:v>
      </x:c>
      <x:c r="C89" s="12" t="n">
        <x:f>B89/100</x:f>
        <x:v>0</x:v>
      </x:c>
      <x:c r="D89" s="10" t="n">
        <x:v>0</x:v>
      </x:c>
      <x:c r="E89" s="10" t="n">
        <x:v>100</x:v>
      </x:c>
      <x:c r="F89" s="10" t="n">
        <x:v>0</x:v>
      </x:c>
      <x:c r="G89" s="10" t="n">
        <x:v>0</x:v>
      </x:c>
      <x:c r="H89" s="11" t="str">
        <x:v>最大亮度</x:v>
      </x:c>
      <x:c r="I89" s="11" t="str">
        <x:v>不可读</x:v>
      </x:c>
      <x:c r="J89" s="9" t="n">
        <x:v>32</x:v>
      </x:c>
      <x:c r="K89" s="9" t="n">
        <x:v>16</x:v>
      </x:c>
      <x:c r="L89" s="9" t="n">
        <x:v>1</x:v>
      </x:c>
      <x:c r="M89" s="13" t="n">
        <x:f>(D89+E89+F89)/100</x:f>
        <x:v>1</x:v>
      </x:c>
    </x:row>
    <x:row r="90" ht="28" customHeight="1">
      <x:c r="A90" s="10" t="str">
        <x:v>px32-g17</x:v>
      </x:c>
      <x:c r="B90" s="10" t="n">
        <x:v>0</x:v>
      </x:c>
      <x:c r="C90" s="12" t="n">
        <x:f>B90/100</x:f>
        <x:v>0</x:v>
      </x:c>
      <x:c r="D90" s="10" t="n">
        <x:v>0</x:v>
      </x:c>
      <x:c r="E90" s="10" t="n">
        <x:v>100</x:v>
      </x:c>
      <x:c r="F90" s="10" t="n">
        <x:v>0</x:v>
      </x:c>
      <x:c r="G90" s="10" t="n">
        <x:v>0</x:v>
      </x:c>
      <x:c r="H90" s="11" t="str">
        <x:v>最大亮度</x:v>
      </x:c>
      <x:c r="I90" s="11" t="str">
        <x:v>不可读</x:v>
      </x:c>
      <x:c r="J90" s="9" t="n">
        <x:v>32</x:v>
      </x:c>
      <x:c r="K90" s="9" t="n">
        <x:v>17</x:v>
      </x:c>
      <x:c r="L90" s="9" t="n">
        <x:v>1</x:v>
      </x:c>
      <x:c r="M90" s="13" t="n">
        <x:f>(D90+E90+F90)/100</x:f>
        <x:v>1</x:v>
      </x:c>
    </x:row>
    <x:row r="91" ht="28" customHeight="1">
      <x:c r="A91" s="10" t="str">
        <x:v>px32-g18</x:v>
      </x:c>
      <x:c r="B91" s="10" t="n">
        <x:v>0</x:v>
      </x:c>
      <x:c r="C91" s="12" t="n">
        <x:f>B91/100</x:f>
        <x:v>0</x:v>
      </x:c>
      <x:c r="D91" s="10" t="n">
        <x:v>0</x:v>
      </x:c>
      <x:c r="E91" s="10" t="n">
        <x:v>100</x:v>
      </x:c>
      <x:c r="F91" s="10" t="n">
        <x:v>0</x:v>
      </x:c>
      <x:c r="G91" s="10" t="n">
        <x:v>0</x:v>
      </x:c>
      <x:c r="H91" s="11" t="str">
        <x:v>最大亮度</x:v>
      </x:c>
      <x:c r="I91" s="11" t="str">
        <x:v>不可读</x:v>
      </x:c>
      <x:c r="J91" s="9" t="n">
        <x:v>32</x:v>
      </x:c>
      <x:c r="K91" s="9" t="n">
        <x:v>18</x:v>
      </x:c>
      <x:c r="L91" s="9" t="n">
        <x:v>1</x:v>
      </x:c>
      <x:c r="M91" s="13" t="n">
        <x:f>(D91+E91+F91)/100</x:f>
        <x:v>1</x:v>
      </x:c>
    </x:row>
    <x:row r="92" ht="28" customHeight="1">
      <x:c r="A92" s="10" t="str">
        <x:v>px32-g19</x:v>
      </x:c>
      <x:c r="B92" s="10" t="n">
        <x:v>69</x:v>
      </x:c>
      <x:c r="C92" s="12" t="n">
        <x:f>B92/100</x:f>
        <x:v>0.69</x:v>
      </x:c>
      <x:c r="D92" s="10" t="n">
        <x:v>22</x:v>
      </x:c>
      <x:c r="E92" s="10" t="n">
        <x:v>9</x:v>
      </x:c>
      <x:c r="F92" s="10" t="n">
        <x:v>3</x:v>
      </x:c>
      <x:c r="G92" s="10" t="n">
        <x:v>3</x:v>
      </x:c>
      <x:c r="H92" s="11" t="str">
        <x:v>最大亮度</x:v>
      </x:c>
      <x:c r="I92" s="11" t="str">
        <x:v>部分转写</x:v>
      </x:c>
      <x:c r="J92" s="9" t="n">
        <x:v>32</x:v>
      </x:c>
      <x:c r="K92" s="9" t="n">
        <x:v>19</x:v>
      </x:c>
      <x:c r="L92" s="9" t="n">
        <x:v>1</x:v>
      </x:c>
      <x:c r="M92" s="13" t="n">
        <x:f>(D92+E92+F92)/100</x:f>
        <x:v>0.34</x:v>
      </x:c>
    </x:row>
    <x:row r="93" ht="28" customHeight="1">
      <x:c r="A93" s="10" t="str">
        <x:v>px32-g20</x:v>
      </x:c>
      <x:c r="B93" s="10" t="n">
        <x:v>71</x:v>
      </x:c>
      <x:c r="C93" s="12" t="n">
        <x:f>B93/100</x:f>
        <x:v>0.71</x:v>
      </x:c>
      <x:c r="D93" s="10" t="n">
        <x:v>20</x:v>
      </x:c>
      <x:c r="E93" s="10" t="n">
        <x:v>9</x:v>
      </x:c>
      <x:c r="F93" s="10" t="n">
        <x:v>4</x:v>
      </x:c>
      <x:c r="G93" s="10" t="n">
        <x:v>1</x:v>
      </x:c>
      <x:c r="H93" s="11" t="str">
        <x:v>最大亮度</x:v>
      </x:c>
      <x:c r="I93" s="11" t="str">
        <x:v>部分转写</x:v>
      </x:c>
      <x:c r="J93" s="9" t="n">
        <x:v>32</x:v>
      </x:c>
      <x:c r="K93" s="9" t="n">
        <x:v>20</x:v>
      </x:c>
      <x:c r="L93" s="9" t="n">
        <x:v>1</x:v>
      </x:c>
      <x:c r="M93" s="13" t="n">
        <x:f>(D93+E93+F93)/100</x:f>
        <x:v>0.33</x:v>
      </x:c>
    </x:row>
    <x:row r="94" ht="28" customHeight="1">
      <x:c r="A94" s="10" t="str">
        <x:v>px32-g21</x:v>
      </x:c>
      <x:c r="B94" s="10" t="n">
        <x:v>73</x:v>
      </x:c>
      <x:c r="C94" s="12" t="n">
        <x:f>B94/100</x:f>
        <x:v>0.73</x:v>
      </x:c>
      <x:c r="D94" s="10" t="n">
        <x:v>21</x:v>
      </x:c>
      <x:c r="E94" s="10" t="n">
        <x:v>6</x:v>
      </x:c>
      <x:c r="F94" s="10" t="n">
        <x:v>2</x:v>
      </x:c>
      <x:c r="G94" s="10" t="n">
        <x:v>9</x:v>
      </x:c>
      <x:c r="H94" s="11" t="str">
        <x:v>最大亮度</x:v>
      </x:c>
      <x:c r="I94" s="11" t="str">
        <x:v>部分转写</x:v>
      </x:c>
      <x:c r="J94" s="9" t="n">
        <x:v>32</x:v>
      </x:c>
      <x:c r="K94" s="9" t="n">
        <x:v>21</x:v>
      </x:c>
      <x:c r="L94" s="9" t="n">
        <x:v>1</x:v>
      </x:c>
      <x:c r="M94" s="13" t="n">
        <x:f>(D94+E94+F94)/100</x:f>
        <x:v>0.29</x:v>
      </x:c>
    </x:row>
    <x:row r="95" ht="28" customHeight="1">
      <x:c r="A95" s="10" t="str">
        <x:v>px32-g22</x:v>
      </x:c>
      <x:c r="B95" s="10" t="n">
        <x:v>78</x:v>
      </x:c>
      <x:c r="C95" s="12" t="n">
        <x:f>B95/100</x:f>
        <x:v>0.78</x:v>
      </x:c>
      <x:c r="D95" s="10" t="n">
        <x:v>16</x:v>
      </x:c>
      <x:c r="E95" s="10" t="n">
        <x:v>6</x:v>
      </x:c>
      <x:c r="F95" s="10" t="n">
        <x:v>3</x:v>
      </x:c>
      <x:c r="G95" s="10" t="n">
        <x:v>3</x:v>
      </x:c>
      <x:c r="H95" s="11" t="str">
        <x:v>最大亮度</x:v>
      </x:c>
      <x:c r="I95" s="11" t="str">
        <x:v>部分转写</x:v>
      </x:c>
      <x:c r="J95" s="9" t="n">
        <x:v>32</x:v>
      </x:c>
      <x:c r="K95" s="9" t="n">
        <x:v>22</x:v>
      </x:c>
      <x:c r="L95" s="9" t="n">
        <x:v>1</x:v>
      </x:c>
      <x:c r="M95" s="13" t="n">
        <x:f>(D95+E95+F95)/100</x:f>
        <x:v>0.25</x:v>
      </x:c>
    </x:row>
    <x:row r="96" ht="28" customHeight="1">
      <x:c r="A96" s="10" t="str">
        <x:v>px32-g23</x:v>
      </x:c>
      <x:c r="B96" s="10" t="n">
        <x:v>83</x:v>
      </x:c>
      <x:c r="C96" s="12" t="n">
        <x:f>B96/100</x:f>
        <x:v>0.83</x:v>
      </x:c>
      <x:c r="D96" s="10" t="n">
        <x:v>12</x:v>
      </x:c>
      <x:c r="E96" s="10" t="n">
        <x:v>5</x:v>
      </x:c>
      <x:c r="F96" s="10" t="n">
        <x:v>3</x:v>
      </x:c>
      <x:c r="G96" s="10" t="n">
        <x:v>0</x:v>
      </x:c>
      <x:c r="H96" s="11" t="str">
        <x:v>最大亮度</x:v>
      </x:c>
      <x:c r="I96" s="11" t="str">
        <x:v>部分转写</x:v>
      </x:c>
      <x:c r="J96" s="9" t="n">
        <x:v>32</x:v>
      </x:c>
      <x:c r="K96" s="9" t="n">
        <x:v>23</x:v>
      </x:c>
      <x:c r="L96" s="9" t="n">
        <x:v>1</x:v>
      </x:c>
      <x:c r="M96" s="13" t="n">
        <x:f>(D96+E96+F96)/100</x:f>
        <x:v>0.2</x:v>
      </x:c>
    </x:row>
    <x:row r="97" ht="28" customHeight="1">
      <x:c r="A97" s="10" t="str">
        <x:v>px32-g24</x:v>
      </x:c>
      <x:c r="B97" s="10" t="n">
        <x:v>78</x:v>
      </x:c>
      <x:c r="C97" s="12" t="n">
        <x:f>B97/100</x:f>
        <x:v>0.78</x:v>
      </x:c>
      <x:c r="D97" s="10" t="n">
        <x:v>18</x:v>
      </x:c>
      <x:c r="E97" s="10" t="n">
        <x:v>4</x:v>
      </x:c>
      <x:c r="F97" s="10" t="n">
        <x:v>1</x:v>
      </x:c>
      <x:c r="G97" s="10" t="n">
        <x:v>1</x:v>
      </x:c>
      <x:c r="H97" s="11" t="str">
        <x:v>最大亮度</x:v>
      </x:c>
      <x:c r="I97" s="11" t="str">
        <x:v>部分转写</x:v>
      </x:c>
      <x:c r="J97" s="9" t="n">
        <x:v>32</x:v>
      </x:c>
      <x:c r="K97" s="9" t="n">
        <x:v>24</x:v>
      </x:c>
      <x:c r="L97" s="9" t="n">
        <x:v>1</x:v>
      </x:c>
      <x:c r="M97" s="13" t="n">
        <x:f>(D97+E97+F97)/100</x:f>
        <x:v>0.23</x:v>
      </x:c>
    </x:row>
    <x:row r="98" ht="28" customHeight="1">
      <x:c r="A98" s="10" t="str">
        <x:v>px32-g25</x:v>
      </x:c>
      <x:c r="B98" s="10" t="n">
        <x:v>80</x:v>
      </x:c>
      <x:c r="C98" s="12" t="n">
        <x:f>B98/100</x:f>
        <x:v>0.8</x:v>
      </x:c>
      <x:c r="D98" s="10" t="n">
        <x:v>17</x:v>
      </x:c>
      <x:c r="E98" s="10" t="n">
        <x:v>3</x:v>
      </x:c>
      <x:c r="F98" s="10" t="n">
        <x:v>1</x:v>
      </x:c>
      <x:c r="G98" s="10" t="n">
        <x:v>4</x:v>
      </x:c>
      <x:c r="H98" s="11" t="str">
        <x:v>最大亮度</x:v>
      </x:c>
      <x:c r="I98" s="11" t="str">
        <x:v>部分转写</x:v>
      </x:c>
      <x:c r="J98" s="9" t="n">
        <x:v>32</x:v>
      </x:c>
      <x:c r="K98" s="9" t="n">
        <x:v>25</x:v>
      </x:c>
      <x:c r="L98" s="9" t="n">
        <x:v>1</x:v>
      </x:c>
      <x:c r="M98" s="13" t="n">
        <x:f>(D98+E98+F98)/100</x:f>
        <x:v>0.21</x:v>
      </x:c>
    </x:row>
    <x:row r="99" ht="28" customHeight="1">
      <x:c r="A99" s="10" t="str">
        <x:v>px32-g26</x:v>
      </x:c>
      <x:c r="B99" s="10" t="n">
        <x:v>78</x:v>
      </x:c>
      <x:c r="C99" s="12" t="n">
        <x:f>B99/100</x:f>
        <x:v>0.78</x:v>
      </x:c>
      <x:c r="D99" s="10" t="n">
        <x:v>18</x:v>
      </x:c>
      <x:c r="E99" s="10" t="n">
        <x:v>4</x:v>
      </x:c>
      <x:c r="F99" s="10" t="n">
        <x:v>4</x:v>
      </x:c>
      <x:c r="G99" s="10" t="n">
        <x:v>1</x:v>
      </x:c>
      <x:c r="H99" s="11" t="str">
        <x:v>最大亮度</x:v>
      </x:c>
      <x:c r="I99" s="11" t="str">
        <x:v>部分转写</x:v>
      </x:c>
      <x:c r="J99" s="9" t="n">
        <x:v>32</x:v>
      </x:c>
      <x:c r="K99" s="9" t="n">
        <x:v>26</x:v>
      </x:c>
      <x:c r="L99" s="9" t="n">
        <x:v>1</x:v>
      </x:c>
      <x:c r="M99" s="13" t="n">
        <x:f>(D99+E99+F99)/100</x:f>
        <x:v>0.26</x:v>
      </x:c>
    </x:row>
    <x:row r="100" ht="28" customHeight="1">
      <x:c r="A100" s="10" t="str">
        <x:v>px32-g27</x:v>
      </x:c>
      <x:c r="B100" s="10" t="n">
        <x:v>78</x:v>
      </x:c>
      <x:c r="C100" s="12" t="n">
        <x:f>B100/100</x:f>
        <x:v>0.78</x:v>
      </x:c>
      <x:c r="D100" s="10" t="n">
        <x:v>18</x:v>
      </x:c>
      <x:c r="E100" s="10" t="n">
        <x:v>4</x:v>
      </x:c>
      <x:c r="F100" s="10" t="n">
        <x:v>3</x:v>
      </x:c>
      <x:c r="G100" s="10" t="n">
        <x:v>1</x:v>
      </x:c>
      <x:c r="H100" s="11" t="str">
        <x:v>最大亮度</x:v>
      </x:c>
      <x:c r="I100" s="11" t="str">
        <x:v>部分转写</x:v>
      </x:c>
      <x:c r="J100" s="9" t="n">
        <x:v>32</x:v>
      </x:c>
      <x:c r="K100" s="9" t="n">
        <x:v>27</x:v>
      </x:c>
      <x:c r="L100" s="9" t="n">
        <x:v>1</x:v>
      </x:c>
      <x:c r="M100" s="13" t="n">
        <x:f>(D100+E100+F100)/100</x:f>
        <x:v>0.25</x:v>
      </x:c>
    </x:row>
    <x:row r="101" ht="28" customHeight="1">
      <x:c r="A101" s="10" t="str">
        <x:v>px32-g28</x:v>
      </x:c>
      <x:c r="B101" s="10" t="n">
        <x:v>78</x:v>
      </x:c>
      <x:c r="C101" s="12" t="n">
        <x:f>B101/100</x:f>
        <x:v>0.78</x:v>
      </x:c>
      <x:c r="D101" s="10" t="n">
        <x:v>19</x:v>
      </x:c>
      <x:c r="E101" s="10" t="n">
        <x:v>3</x:v>
      </x:c>
      <x:c r="F101" s="10" t="n">
        <x:v>0</x:v>
      </x:c>
      <x:c r="G101" s="10" t="n">
        <x:v>1</x:v>
      </x:c>
      <x:c r="H101" s="11" t="str">
        <x:v>最大亮度</x:v>
      </x:c>
      <x:c r="I101" s="11" t="str">
        <x:v>部分转写</x:v>
      </x:c>
      <x:c r="J101" s="9" t="n">
        <x:v>32</x:v>
      </x:c>
      <x:c r="K101" s="9" t="n">
        <x:v>28</x:v>
      </x:c>
      <x:c r="L101" s="9" t="n">
        <x:v>1</x:v>
      </x:c>
      <x:c r="M101" s="13" t="n">
        <x:f>(D101+E101+F101)/100</x:f>
        <x:v>0.22</x:v>
      </x:c>
    </x:row>
    <x:row r="102" ht="28" customHeight="1">
      <x:c r="A102" s="10" t="str">
        <x:v>px32-g29</x:v>
      </x:c>
      <x:c r="B102" s="10" t="n">
        <x:v>84</x:v>
      </x:c>
      <x:c r="C102" s="12" t="n">
        <x:f>B102/100</x:f>
        <x:v>0.84</x:v>
      </x:c>
      <x:c r="D102" s="10" t="n">
        <x:v>13</x:v>
      </x:c>
      <x:c r="E102" s="10" t="n">
        <x:v>3</x:v>
      </x:c>
      <x:c r="F102" s="10" t="n">
        <x:v>3</x:v>
      </x:c>
      <x:c r="G102" s="10" t="n">
        <x:v>1</x:v>
      </x:c>
      <x:c r="H102" s="11" t="str">
        <x:v>最大亮度</x:v>
      </x:c>
      <x:c r="I102" s="11" t="str">
        <x:v>部分转写</x:v>
      </x:c>
      <x:c r="J102" s="9" t="n">
        <x:v>32</x:v>
      </x:c>
      <x:c r="K102" s="9" t="n">
        <x:v>29</x:v>
      </x:c>
      <x:c r="L102" s="9" t="n">
        <x:v>1</x:v>
      </x:c>
      <x:c r="M102" s="13" t="n">
        <x:f>(D102+E102+F102)/100</x:f>
        <x:v>0.19</x:v>
      </x:c>
    </x:row>
    <x:row r="103" ht="28" customHeight="1">
      <x:c r="A103" s="10" t="str">
        <x:v>px32-g30</x:v>
      </x:c>
      <x:c r="B103" s="10" t="n">
        <x:v>81</x:v>
      </x:c>
      <x:c r="C103" s="12" t="n">
        <x:f>B103/100</x:f>
        <x:v>0.81</x:v>
      </x:c>
      <x:c r="D103" s="10" t="n">
        <x:v>15</x:v>
      </x:c>
      <x:c r="E103" s="10" t="n">
        <x:v>4</x:v>
      </x:c>
      <x:c r="F103" s="10" t="n">
        <x:v>2</x:v>
      </x:c>
      <x:c r="G103" s="10" t="n">
        <x:v>0</x:v>
      </x:c>
      <x:c r="H103" s="11" t="str">
        <x:v>最大亮度</x:v>
      </x:c>
      <x:c r="I103" s="11" t="str">
        <x:v>部分转写</x:v>
      </x:c>
      <x:c r="J103" s="9" t="n">
        <x:v>32</x:v>
      </x:c>
      <x:c r="K103" s="9" t="n">
        <x:v>30</x:v>
      </x:c>
      <x:c r="L103" s="9" t="n">
        <x:v>1</x:v>
      </x:c>
      <x:c r="M103" s="13" t="n">
        <x:f>(D103+E103+F103)/100</x:f>
        <x:v>0.21</x:v>
      </x:c>
    </x:row>
    <x:row r="104" ht="28" customHeight="1">
      <x:c r="A104" s="10" t="str">
        <x:v>px32-g31</x:v>
      </x:c>
      <x:c r="B104" s="10" t="n">
        <x:v>87</x:v>
      </x:c>
      <x:c r="C104" s="12" t="n">
        <x:f>B104/100</x:f>
        <x:v>0.87</x:v>
      </x:c>
      <x:c r="D104" s="10" t="n">
        <x:v>9</x:v>
      </x:c>
      <x:c r="E104" s="10" t="n">
        <x:v>4</x:v>
      </x:c>
      <x:c r="F104" s="10" t="n">
        <x:v>1</x:v>
      </x:c>
      <x:c r="G104" s="10" t="n">
        <x:v>1</x:v>
      </x:c>
      <x:c r="H104" s="11" t="str">
        <x:v>最大亮度</x:v>
      </x:c>
      <x:c r="I104" s="11" t="str">
        <x:v>部分转写</x:v>
      </x:c>
      <x:c r="J104" s="9" t="n">
        <x:v>32</x:v>
      </x:c>
      <x:c r="K104" s="9" t="n">
        <x:v>31</x:v>
      </x:c>
      <x:c r="L104" s="9" t="n">
        <x:v>1</x:v>
      </x:c>
      <x:c r="M104" s="13" t="n">
        <x:f>(D104+E104+F104)/100</x:f>
        <x:v>0.14</x:v>
      </x:c>
    </x:row>
    <x:row r="105" ht="28" customHeight="1">
      <x:c r="A105" s="10" t="str">
        <x:v>px32-g32</x:v>
      </x:c>
      <x:c r="B105" s="10" t="n">
        <x:v>85</x:v>
      </x:c>
      <x:c r="C105" s="12" t="n">
        <x:f>B105/100</x:f>
        <x:v>0.85</x:v>
      </x:c>
      <x:c r="D105" s="10" t="n">
        <x:v>13</x:v>
      </x:c>
      <x:c r="E105" s="10" t="n">
        <x:v>2</x:v>
      </x:c>
      <x:c r="F105" s="10" t="n">
        <x:v>2</x:v>
      </x:c>
      <x:c r="G105" s="10" t="n">
        <x:v>1</x:v>
      </x:c>
      <x:c r="H105" s="11" t="str">
        <x:v>最大亮度</x:v>
      </x:c>
      <x:c r="I105" s="11" t="str">
        <x:v>部分转写</x:v>
      </x:c>
      <x:c r="J105" s="9" t="n">
        <x:v>32</x:v>
      </x:c>
      <x:c r="K105" s="9" t="n">
        <x:v>32</x:v>
      </x:c>
      <x:c r="L105" s="9" t="n">
        <x:v>1</x:v>
      </x:c>
      <x:c r="M105" s="13" t="n">
        <x:f>(D105+E105+F105)/100</x:f>
        <x:v>0.17</x:v>
      </x:c>
    </x:row>
    <x:row r="106" ht="28" customHeight="1">
      <x:c r="A106" s="10" t="str">
        <x:v>px40-g01</x:v>
      </x:c>
      <x:c r="B106" s="10" t="n">
        <x:v>0</x:v>
      </x:c>
      <x:c r="C106" s="12" t="n">
        <x:f>B106/100</x:f>
        <x:v>0</x:v>
      </x:c>
      <x:c r="D106" s="10" t="n">
        <x:v>0</x:v>
      </x:c>
      <x:c r="E106" s="10" t="n">
        <x:v>100</x:v>
      </x:c>
      <x:c r="F106" s="10" t="n">
        <x:v>0</x:v>
      </x:c>
      <x:c r="G106" s="10" t="n">
        <x:v>0</x:v>
      </x:c>
      <x:c r="H106" s="11" t="str">
        <x:v>最大亮度</x:v>
      </x:c>
      <x:c r="I106" s="11" t="str">
        <x:v>不可读</x:v>
      </x:c>
      <x:c r="J106" s="9" t="n">
        <x:v>40</x:v>
      </x:c>
      <x:c r="K106" s="9" t="n">
        <x:v>1</x:v>
      </x:c>
      <x:c r="L106" s="9" t="n">
        <x:v>1</x:v>
      </x:c>
      <x:c r="M106" s="13" t="n">
        <x:f>(D106+E106+F106)/100</x:f>
        <x:v>1</x:v>
      </x:c>
    </x:row>
    <x:row r="107" ht="28" customHeight="1">
      <x:c r="A107" s="10" t="str">
        <x:v>px40-g02</x:v>
      </x:c>
      <x:c r="B107" s="10" t="n">
        <x:v>0</x:v>
      </x:c>
      <x:c r="C107" s="12" t="n">
        <x:f>B107/100</x:f>
        <x:v>0</x:v>
      </x:c>
      <x:c r="D107" s="10" t="n">
        <x:v>0</x:v>
      </x:c>
      <x:c r="E107" s="10" t="n">
        <x:v>100</x:v>
      </x:c>
      <x:c r="F107" s="10" t="n">
        <x:v>0</x:v>
      </x:c>
      <x:c r="G107" s="10" t="n">
        <x:v>0</x:v>
      </x:c>
      <x:c r="H107" s="11" t="str">
        <x:v>最大亮度</x:v>
      </x:c>
      <x:c r="I107" s="11" t="str">
        <x:v>不可读</x:v>
      </x:c>
      <x:c r="J107" s="9" t="n">
        <x:v>40</x:v>
      </x:c>
      <x:c r="K107" s="9" t="n">
        <x:v>2</x:v>
      </x:c>
      <x:c r="L107" s="9" t="n">
        <x:v>1</x:v>
      </x:c>
      <x:c r="M107" s="13" t="n">
        <x:f>(D107+E107+F107)/100</x:f>
        <x:v>1</x:v>
      </x:c>
    </x:row>
    <x:row r="108" ht="28" customHeight="1">
      <x:c r="A108" s="10" t="str">
        <x:v>px40-g03</x:v>
      </x:c>
      <x:c r="B108" s="10" t="n">
        <x:v>0</x:v>
      </x:c>
      <x:c r="C108" s="12" t="n">
        <x:f>B108/100</x:f>
        <x:v>0</x:v>
      </x:c>
      <x:c r="D108" s="10" t="n">
        <x:v>0</x:v>
      </x:c>
      <x:c r="E108" s="10" t="n">
        <x:v>100</x:v>
      </x:c>
      <x:c r="F108" s="10" t="n">
        <x:v>0</x:v>
      </x:c>
      <x:c r="G108" s="10" t="n">
        <x:v>0</x:v>
      </x:c>
      <x:c r="H108" s="11" t="str">
        <x:v>最大亮度</x:v>
      </x:c>
      <x:c r="I108" s="11" t="str">
        <x:v>不可读</x:v>
      </x:c>
      <x:c r="J108" s="9" t="n">
        <x:v>40</x:v>
      </x:c>
      <x:c r="K108" s="9" t="n">
        <x:v>3</x:v>
      </x:c>
      <x:c r="L108" s="9" t="n">
        <x:v>1</x:v>
      </x:c>
      <x:c r="M108" s="13" t="n">
        <x:f>(D108+E108+F108)/100</x:f>
        <x:v>1</x:v>
      </x:c>
    </x:row>
    <x:row r="109" ht="28" customHeight="1">
      <x:c r="A109" s="10" t="str">
        <x:v>px40-g04</x:v>
      </x:c>
      <x:c r="B109" s="10" t="n">
        <x:v>0</x:v>
      </x:c>
      <x:c r="C109" s="12" t="n">
        <x:f>B109/100</x:f>
        <x:v>0</x:v>
      </x:c>
      <x:c r="D109" s="10" t="n">
        <x:v>0</x:v>
      </x:c>
      <x:c r="E109" s="10" t="n">
        <x:v>100</x:v>
      </x:c>
      <x:c r="F109" s="10" t="n">
        <x:v>0</x:v>
      </x:c>
      <x:c r="G109" s="10" t="n">
        <x:v>0</x:v>
      </x:c>
      <x:c r="H109" s="11" t="str">
        <x:v>最大亮度</x:v>
      </x:c>
      <x:c r="I109" s="11" t="str">
        <x:v>不可读</x:v>
      </x:c>
      <x:c r="J109" s="9" t="n">
        <x:v>40</x:v>
      </x:c>
      <x:c r="K109" s="9" t="n">
        <x:v>4</x:v>
      </x:c>
      <x:c r="L109" s="9" t="n">
        <x:v>1</x:v>
      </x:c>
      <x:c r="M109" s="13" t="n">
        <x:f>(D109+E109+F109)/100</x:f>
        <x:v>1</x:v>
      </x:c>
    </x:row>
    <x:row r="110" ht="28" customHeight="1">
      <x:c r="A110" s="10" t="str">
        <x:v>px40-g05</x:v>
      </x:c>
      <x:c r="B110" s="10" t="n">
        <x:v>0</x:v>
      </x:c>
      <x:c r="C110" s="12" t="n">
        <x:f>B110/100</x:f>
        <x:v>0</x:v>
      </x:c>
      <x:c r="D110" s="10" t="n">
        <x:v>0</x:v>
      </x:c>
      <x:c r="E110" s="10" t="n">
        <x:v>100</x:v>
      </x:c>
      <x:c r="F110" s="10" t="n">
        <x:v>0</x:v>
      </x:c>
      <x:c r="G110" s="10" t="n">
        <x:v>0</x:v>
      </x:c>
      <x:c r="H110" s="11" t="str">
        <x:v>最大亮度</x:v>
      </x:c>
      <x:c r="I110" s="11" t="str">
        <x:v>不可读</x:v>
      </x:c>
      <x:c r="J110" s="9" t="n">
        <x:v>40</x:v>
      </x:c>
      <x:c r="K110" s="9" t="n">
        <x:v>5</x:v>
      </x:c>
      <x:c r="L110" s="9" t="n">
        <x:v>1</x:v>
      </x:c>
      <x:c r="M110" s="13" t="n">
        <x:f>(D110+E110+F110)/100</x:f>
        <x:v>1</x:v>
      </x:c>
    </x:row>
    <x:row r="111" ht="28" customHeight="1">
      <x:c r="A111" s="10" t="str">
        <x:v>px40-g06</x:v>
      </x:c>
      <x:c r="B111" s="10" t="n">
        <x:v>0</x:v>
      </x:c>
      <x:c r="C111" s="12" t="n">
        <x:f>B111/100</x:f>
        <x:v>0</x:v>
      </x:c>
      <x:c r="D111" s="10" t="n">
        <x:v>0</x:v>
      </x:c>
      <x:c r="E111" s="10" t="n">
        <x:v>100</x:v>
      </x:c>
      <x:c r="F111" s="10" t="n">
        <x:v>0</x:v>
      </x:c>
      <x:c r="G111" s="10" t="n">
        <x:v>0</x:v>
      </x:c>
      <x:c r="H111" s="11" t="str">
        <x:v>最大亮度</x:v>
      </x:c>
      <x:c r="I111" s="11" t="str">
        <x:v>不可读</x:v>
      </x:c>
      <x:c r="J111" s="9" t="n">
        <x:v>40</x:v>
      </x:c>
      <x:c r="K111" s="9" t="n">
        <x:v>6</x:v>
      </x:c>
      <x:c r="L111" s="9" t="n">
        <x:v>1</x:v>
      </x:c>
      <x:c r="M111" s="13" t="n">
        <x:f>(D111+E111+F111)/100</x:f>
        <x:v>1</x:v>
      </x:c>
    </x:row>
    <x:row r="112" ht="28" customHeight="1">
      <x:c r="A112" s="10" t="str">
        <x:v>px40-g07</x:v>
      </x:c>
      <x:c r="B112" s="10" t="n">
        <x:v>0</x:v>
      </x:c>
      <x:c r="C112" s="12" t="n">
        <x:f>B112/100</x:f>
        <x:v>0</x:v>
      </x:c>
      <x:c r="D112" s="10" t="n">
        <x:v>0</x:v>
      </x:c>
      <x:c r="E112" s="10" t="n">
        <x:v>100</x:v>
      </x:c>
      <x:c r="F112" s="10" t="n">
        <x:v>0</x:v>
      </x:c>
      <x:c r="G112" s="10" t="n">
        <x:v>0</x:v>
      </x:c>
      <x:c r="H112" s="11" t="str">
        <x:v>最大亮度</x:v>
      </x:c>
      <x:c r="I112" s="11" t="str">
        <x:v>不可读</x:v>
      </x:c>
      <x:c r="J112" s="9" t="n">
        <x:v>40</x:v>
      </x:c>
      <x:c r="K112" s="9" t="n">
        <x:v>7</x:v>
      </x:c>
      <x:c r="L112" s="9" t="n">
        <x:v>1</x:v>
      </x:c>
      <x:c r="M112" s="13" t="n">
        <x:f>(D112+E112+F112)/100</x:f>
        <x:v>1</x:v>
      </x:c>
    </x:row>
    <x:row r="113" ht="28" customHeight="1">
      <x:c r="A113" s="10" t="str">
        <x:v>px40-g08</x:v>
      </x:c>
      <x:c r="B113" s="10" t="n">
        <x:v>0</x:v>
      </x:c>
      <x:c r="C113" s="12" t="n">
        <x:f>B113/100</x:f>
        <x:v>0</x:v>
      </x:c>
      <x:c r="D113" s="10" t="n">
        <x:v>0</x:v>
      </x:c>
      <x:c r="E113" s="10" t="n">
        <x:v>100</x:v>
      </x:c>
      <x:c r="F113" s="10" t="n">
        <x:v>0</x:v>
      </x:c>
      <x:c r="G113" s="10" t="n">
        <x:v>0</x:v>
      </x:c>
      <x:c r="H113" s="11" t="str">
        <x:v>最大亮度</x:v>
      </x:c>
      <x:c r="I113" s="11" t="str">
        <x:v>不可读</x:v>
      </x:c>
      <x:c r="J113" s="9" t="n">
        <x:v>40</x:v>
      </x:c>
      <x:c r="K113" s="9" t="n">
        <x:v>8</x:v>
      </x:c>
      <x:c r="L113" s="9" t="n">
        <x:v>1</x:v>
      </x:c>
      <x:c r="M113" s="13" t="n">
        <x:f>(D113+E113+F113)/100</x:f>
        <x:v>1</x:v>
      </x:c>
    </x:row>
    <x:row r="114" ht="28" customHeight="1">
      <x:c r="A114" s="10" t="str">
        <x:v>px40-g09</x:v>
      </x:c>
      <x:c r="B114" s="10" t="n">
        <x:v>0</x:v>
      </x:c>
      <x:c r="C114" s="12" t="n">
        <x:f>B114/100</x:f>
        <x:v>0</x:v>
      </x:c>
      <x:c r="D114" s="10" t="n">
        <x:v>0</x:v>
      </x:c>
      <x:c r="E114" s="10" t="n">
        <x:v>100</x:v>
      </x:c>
      <x:c r="F114" s="10" t="n">
        <x:v>0</x:v>
      </x:c>
      <x:c r="G114" s="10" t="n">
        <x:v>0</x:v>
      </x:c>
      <x:c r="H114" s="11" t="str">
        <x:v>最大亮度</x:v>
      </x:c>
      <x:c r="I114" s="11" t="str">
        <x:v>不可读</x:v>
      </x:c>
      <x:c r="J114" s="9" t="n">
        <x:v>40</x:v>
      </x:c>
      <x:c r="K114" s="9" t="n">
        <x:v>9</x:v>
      </x:c>
      <x:c r="L114" s="9" t="n">
        <x:v>1</x:v>
      </x:c>
      <x:c r="M114" s="13" t="n">
        <x:f>(D114+E114+F114)/100</x:f>
        <x:v>1</x:v>
      </x:c>
    </x:row>
    <x:row r="115" ht="28" customHeight="1">
      <x:c r="A115" s="10" t="str">
        <x:v>px40-g10</x:v>
      </x:c>
      <x:c r="B115" s="10" t="n">
        <x:v>54</x:v>
      </x:c>
      <x:c r="C115" s="12" t="n">
        <x:f>B115/100</x:f>
        <x:v>0.54</x:v>
      </x:c>
      <x:c r="D115" s="10" t="n">
        <x:v>38</x:v>
      </x:c>
      <x:c r="E115" s="10" t="n">
        <x:v>8</x:v>
      </x:c>
      <x:c r="F115" s="10" t="n">
        <x:v>2</x:v>
      </x:c>
      <x:c r="G115" s="10" t="n">
        <x:v>26</x:v>
      </x:c>
      <x:c r="H115" s="11" t="str">
        <x:v>最大亮度</x:v>
      </x:c>
      <x:c r="I115" s="11" t="str">
        <x:v>部分转写</x:v>
      </x:c>
      <x:c r="J115" s="9" t="n">
        <x:v>40</x:v>
      </x:c>
      <x:c r="K115" s="9" t="n">
        <x:v>10</x:v>
      </x:c>
      <x:c r="L115" s="9" t="n">
        <x:v>1</x:v>
      </x:c>
      <x:c r="M115" s="13" t="n">
        <x:f>(D115+E115+F115)/100</x:f>
        <x:v>0.48</x:v>
      </x:c>
    </x:row>
    <x:row r="116" ht="28" customHeight="1">
      <x:c r="A116" s="10" t="str">
        <x:v>px40-g11</x:v>
      </x:c>
      <x:c r="B116" s="10" t="n">
        <x:v>65</x:v>
      </x:c>
      <x:c r="C116" s="12" t="n">
        <x:f>B116/100</x:f>
        <x:v>0.65</x:v>
      </x:c>
      <x:c r="D116" s="10" t="n">
        <x:v>27</x:v>
      </x:c>
      <x:c r="E116" s="10" t="n">
        <x:v>8</x:v>
      </x:c>
      <x:c r="F116" s="10" t="n">
        <x:v>1</x:v>
      </x:c>
      <x:c r="G116" s="10" t="n">
        <x:v>3</x:v>
      </x:c>
      <x:c r="H116" s="11" t="str">
        <x:v>最大亮度</x:v>
      </x:c>
      <x:c r="I116" s="11" t="str">
        <x:v>部分转写</x:v>
      </x:c>
      <x:c r="J116" s="9" t="n">
        <x:v>40</x:v>
      </x:c>
      <x:c r="K116" s="9" t="n">
        <x:v>11</x:v>
      </x:c>
      <x:c r="L116" s="9" t="n">
        <x:v>1</x:v>
      </x:c>
      <x:c r="M116" s="13" t="n">
        <x:f>(D116+E116+F116)/100</x:f>
        <x:v>0.36</x:v>
      </x:c>
    </x:row>
    <x:row r="117" ht="28" customHeight="1">
      <x:c r="A117" s="10" t="str">
        <x:v>px40-g12</x:v>
      </x:c>
      <x:c r="B117" s="10" t="n">
        <x:v>71</x:v>
      </x:c>
      <x:c r="C117" s="12" t="n">
        <x:f>B117/100</x:f>
        <x:v>0.71</x:v>
      </x:c>
      <x:c r="D117" s="10" t="n">
        <x:v>23</x:v>
      </x:c>
      <x:c r="E117" s="10" t="n">
        <x:v>6</x:v>
      </x:c>
      <x:c r="F117" s="10" t="n">
        <x:v>3</x:v>
      </x:c>
      <x:c r="G117" s="10" t="n">
        <x:v>1</x:v>
      </x:c>
      <x:c r="H117" s="11" t="str">
        <x:v>最大亮度</x:v>
      </x:c>
      <x:c r="I117" s="11" t="str">
        <x:v>部分转写</x:v>
      </x:c>
      <x:c r="J117" s="9" t="n">
        <x:v>40</x:v>
      </x:c>
      <x:c r="K117" s="9" t="n">
        <x:v>12</x:v>
      </x:c>
      <x:c r="L117" s="9" t="n">
        <x:v>1</x:v>
      </x:c>
      <x:c r="M117" s="13" t="n">
        <x:f>(D117+E117+F117)/100</x:f>
        <x:v>0.32</x:v>
      </x:c>
    </x:row>
    <x:row r="118" ht="28" customHeight="1">
      <x:c r="A118" s="10" t="str">
        <x:v>px40-g13</x:v>
      </x:c>
      <x:c r="B118" s="10" t="n">
        <x:v>75</x:v>
      </x:c>
      <x:c r="C118" s="12" t="n">
        <x:f>B118/100</x:f>
        <x:v>0.75</x:v>
      </x:c>
      <x:c r="D118" s="10" t="n">
        <x:v>22</x:v>
      </x:c>
      <x:c r="E118" s="10" t="n">
        <x:v>3</x:v>
      </x:c>
      <x:c r="F118" s="10" t="n">
        <x:v>3</x:v>
      </x:c>
      <x:c r="G118" s="10" t="n">
        <x:v>1</x:v>
      </x:c>
      <x:c r="H118" s="11" t="str">
        <x:v>最大亮度</x:v>
      </x:c>
      <x:c r="I118" s="11" t="str">
        <x:v>部分转写</x:v>
      </x:c>
      <x:c r="J118" s="9" t="n">
        <x:v>40</x:v>
      </x:c>
      <x:c r="K118" s="9" t="n">
        <x:v>13</x:v>
      </x:c>
      <x:c r="L118" s="9" t="n">
        <x:v>1</x:v>
      </x:c>
      <x:c r="M118" s="13" t="n">
        <x:f>(D118+E118+F118)/100</x:f>
        <x:v>0.28</x:v>
      </x:c>
    </x:row>
    <x:row r="119" ht="28" customHeight="1">
      <x:c r="A119" s="10" t="str">
        <x:v>px40-g14</x:v>
      </x:c>
      <x:c r="B119" s="10" t="n">
        <x:v>80</x:v>
      </x:c>
      <x:c r="C119" s="12" t="n">
        <x:f>B119/100</x:f>
        <x:v>0.8</x:v>
      </x:c>
      <x:c r="D119" s="10" t="n">
        <x:v>17</x:v>
      </x:c>
      <x:c r="E119" s="10" t="n">
        <x:v>3</x:v>
      </x:c>
      <x:c r="F119" s="10" t="n">
        <x:v>1</x:v>
      </x:c>
      <x:c r="G119" s="10" t="n">
        <x:v>0</x:v>
      </x:c>
      <x:c r="H119" s="11" t="str">
        <x:v>最大亮度</x:v>
      </x:c>
      <x:c r="I119" s="11" t="str">
        <x:v>部分转写</x:v>
      </x:c>
      <x:c r="J119" s="9" t="n">
        <x:v>40</x:v>
      </x:c>
      <x:c r="K119" s="9" t="n">
        <x:v>14</x:v>
      </x:c>
      <x:c r="L119" s="9" t="n">
        <x:v>1</x:v>
      </x:c>
      <x:c r="M119" s="13" t="n">
        <x:f>(D119+E119+F119)/100</x:f>
        <x:v>0.21</x:v>
      </x:c>
    </x:row>
    <x:row r="120" ht="28" customHeight="1">
      <x:c r="A120" s="10" t="str">
        <x:v>px40-g15</x:v>
      </x:c>
      <x:c r="B120" s="10" t="n">
        <x:v>86</x:v>
      </x:c>
      <x:c r="C120" s="12" t="n">
        <x:f>B120/100</x:f>
        <x:v>0.86</x:v>
      </x:c>
      <x:c r="D120" s="10" t="n">
        <x:v>12</x:v>
      </x:c>
      <x:c r="E120" s="10" t="n">
        <x:v>2</x:v>
      </x:c>
      <x:c r="F120" s="10" t="n">
        <x:v>0</x:v>
      </x:c>
      <x:c r="G120" s="10" t="n">
        <x:v>1</x:v>
      </x:c>
      <x:c r="H120" s="11" t="str">
        <x:v>最大亮度</x:v>
      </x:c>
      <x:c r="I120" s="11" t="str">
        <x:v>部分转写</x:v>
      </x:c>
      <x:c r="J120" s="9" t="n">
        <x:v>40</x:v>
      </x:c>
      <x:c r="K120" s="9" t="n">
        <x:v>15</x:v>
      </x:c>
      <x:c r="L120" s="9" t="n">
        <x:v>1</x:v>
      </x:c>
      <x:c r="M120" s="13" t="n">
        <x:f>(D120+E120+F120)/100</x:f>
        <x:v>0.14</x:v>
      </x:c>
    </x:row>
    <x:row r="121" ht="28" customHeight="1">
      <x:c r="A121" s="10" t="str">
        <x:v>px40-g16</x:v>
      </x:c>
      <x:c r="B121" s="10" t="n">
        <x:v>85</x:v>
      </x:c>
      <x:c r="C121" s="12" t="n">
        <x:f>B121/100</x:f>
        <x:v>0.85</x:v>
      </x:c>
      <x:c r="D121" s="10" t="n">
        <x:v>12</x:v>
      </x:c>
      <x:c r="E121" s="10" t="n">
        <x:v>3</x:v>
      </x:c>
      <x:c r="F121" s="10" t="n">
        <x:v>1</x:v>
      </x:c>
      <x:c r="G121" s="10" t="n">
        <x:v>0</x:v>
      </x:c>
      <x:c r="H121" s="11" t="str">
        <x:v>最大亮度</x:v>
      </x:c>
      <x:c r="I121" s="11" t="str">
        <x:v>部分转写</x:v>
      </x:c>
      <x:c r="J121" s="9" t="n">
        <x:v>40</x:v>
      </x:c>
      <x:c r="K121" s="9" t="n">
        <x:v>16</x:v>
      </x:c>
      <x:c r="L121" s="9" t="n">
        <x:v>1</x:v>
      </x:c>
      <x:c r="M121" s="13" t="n">
        <x:f>(D121+E121+F121)/100</x:f>
        <x:v>0.16</x:v>
      </x:c>
    </x:row>
    <x:row r="122" ht="28" customHeight="1">
      <x:c r="A122" s="10" t="str">
        <x:v>px40-g17</x:v>
      </x:c>
      <x:c r="B122" s="10" t="n">
        <x:v>86</x:v>
      </x:c>
      <x:c r="C122" s="12" t="n">
        <x:f>B122/100</x:f>
        <x:v>0.86</x:v>
      </x:c>
      <x:c r="D122" s="10" t="n">
        <x:v>10</x:v>
      </x:c>
      <x:c r="E122" s="10" t="n">
        <x:v>4</x:v>
      </x:c>
      <x:c r="F122" s="10" t="n">
        <x:v>1</x:v>
      </x:c>
      <x:c r="G122" s="10" t="n">
        <x:v>0</x:v>
      </x:c>
      <x:c r="H122" s="11" t="str">
        <x:v>最大亮度</x:v>
      </x:c>
      <x:c r="I122" s="11" t="str">
        <x:v>部分转写</x:v>
      </x:c>
      <x:c r="J122" s="9" t="n">
        <x:v>40</x:v>
      </x:c>
      <x:c r="K122" s="9" t="n">
        <x:v>17</x:v>
      </x:c>
      <x:c r="L122" s="9" t="n">
        <x:v>1</x:v>
      </x:c>
      <x:c r="M122" s="13" t="n">
        <x:f>(D122+E122+F122)/100</x:f>
        <x:v>0.15</x:v>
      </x:c>
    </x:row>
    <x:row r="123" ht="28" customHeight="1">
      <x:c r="A123" s="10" t="str">
        <x:v>px40-g18</x:v>
      </x:c>
      <x:c r="B123" s="10" t="n">
        <x:v>86</x:v>
      </x:c>
      <x:c r="C123" s="12" t="n">
        <x:f>B123/100</x:f>
        <x:v>0.86</x:v>
      </x:c>
      <x:c r="D123" s="10" t="n">
        <x:v>13</x:v>
      </x:c>
      <x:c r="E123" s="10" t="n">
        <x:v>1</x:v>
      </x:c>
      <x:c r="F123" s="10" t="n">
        <x:v>0</x:v>
      </x:c>
      <x:c r="G123" s="10" t="n">
        <x:v>0</x:v>
      </x:c>
      <x:c r="H123" s="11" t="str">
        <x:v>最大亮度</x:v>
      </x:c>
      <x:c r="I123" s="11" t="str">
        <x:v>部分转写</x:v>
      </x:c>
      <x:c r="J123" s="9" t="n">
        <x:v>40</x:v>
      </x:c>
      <x:c r="K123" s="9" t="n">
        <x:v>18</x:v>
      </x:c>
      <x:c r="L123" s="9" t="n">
        <x:v>1</x:v>
      </x:c>
      <x:c r="M123" s="13" t="n">
        <x:f>(D123+E123+F123)/100</x:f>
        <x:v>0.14</x:v>
      </x:c>
    </x:row>
    <x:row r="124" ht="28" customHeight="1">
      <x:c r="A124" s="10" t="str">
        <x:v>px40-g19</x:v>
      </x:c>
      <x:c r="B124" s="10" t="n">
        <x:v>88</x:v>
      </x:c>
      <x:c r="C124" s="12" t="n">
        <x:f>B124/100</x:f>
        <x:v>0.88</x:v>
      </x:c>
      <x:c r="D124" s="10" t="n">
        <x:v>8</x:v>
      </x:c>
      <x:c r="E124" s="10" t="n">
        <x:v>4</x:v>
      </x:c>
      <x:c r="F124" s="10" t="n">
        <x:v>2</x:v>
      </x:c>
      <x:c r="G124" s="10" t="n">
        <x:v>0</x:v>
      </x:c>
      <x:c r="H124" s="11" t="str">
        <x:v>最大亮度</x:v>
      </x:c>
      <x:c r="I124" s="11" t="str">
        <x:v>部分转写</x:v>
      </x:c>
      <x:c r="J124" s="9" t="n">
        <x:v>40</x:v>
      </x:c>
      <x:c r="K124" s="9" t="n">
        <x:v>19</x:v>
      </x:c>
      <x:c r="L124" s="9" t="n">
        <x:v>1</x:v>
      </x:c>
      <x:c r="M124" s="13" t="n">
        <x:f>(D124+E124+F124)/100</x:f>
        <x:v>0.14</x:v>
      </x:c>
    </x:row>
    <x:row r="125" ht="28" customHeight="1">
      <x:c r="A125" s="10" t="str">
        <x:v>px40-g20</x:v>
      </x:c>
      <x:c r="B125" s="10" t="n">
        <x:v>91</x:v>
      </x:c>
      <x:c r="C125" s="12" t="n">
        <x:f>B125/100</x:f>
        <x:v>0.91</x:v>
      </x:c>
      <x:c r="D125" s="10" t="n">
        <x:v>6</x:v>
      </x:c>
      <x:c r="E125" s="10" t="n">
        <x:v>3</x:v>
      </x:c>
      <x:c r="F125" s="10" t="n">
        <x:v>0</x:v>
      </x:c>
      <x:c r="G125" s="10" t="n">
        <x:v>0</x:v>
      </x:c>
      <x:c r="H125" s="11" t="str">
        <x:v>最大亮度</x:v>
      </x:c>
      <x:c r="I125" s="11" t="str">
        <x:v>部分转写</x:v>
      </x:c>
      <x:c r="J125" s="9" t="n">
        <x:v>40</x:v>
      </x:c>
      <x:c r="K125" s="9" t="n">
        <x:v>20</x:v>
      </x:c>
      <x:c r="L125" s="9" t="n">
        <x:v>1</x:v>
      </x:c>
      <x:c r="M125" s="13" t="n">
        <x:f>(D125+E125+F125)/100</x:f>
        <x:v>0.09</x:v>
      </x:c>
    </x:row>
    <x:row r="126" ht="28" customHeight="1">
      <x:c r="A126" s="10" t="str">
        <x:v>px40-g21</x:v>
      </x:c>
      <x:c r="B126" s="10" t="n">
        <x:v>89</x:v>
      </x:c>
      <x:c r="C126" s="12" t="n">
        <x:f>B126/100</x:f>
        <x:v>0.89</x:v>
      </x:c>
      <x:c r="D126" s="10" t="n">
        <x:v>8</x:v>
      </x:c>
      <x:c r="E126" s="10" t="n">
        <x:v>3</x:v>
      </x:c>
      <x:c r="F126" s="10" t="n">
        <x:v>1</x:v>
      </x:c>
      <x:c r="G126" s="10" t="n">
        <x:v>0</x:v>
      </x:c>
      <x:c r="H126" s="11" t="str">
        <x:v>最大亮度</x:v>
      </x:c>
      <x:c r="I126" s="11" t="str">
        <x:v>部分转写</x:v>
      </x:c>
      <x:c r="J126" s="9" t="n">
        <x:v>40</x:v>
      </x:c>
      <x:c r="K126" s="9" t="n">
        <x:v>21</x:v>
      </x:c>
      <x:c r="L126" s="9" t="n">
        <x:v>1</x:v>
      </x:c>
      <x:c r="M126" s="13" t="n">
        <x:f>(D126+E126+F126)/100</x:f>
        <x:v>0.12</x:v>
      </x:c>
    </x:row>
    <x:row r="127" ht="28" customHeight="1">
      <x:c r="A127" s="10" t="str">
        <x:v>px40-g22</x:v>
      </x:c>
      <x:c r="B127" s="10" t="n">
        <x:v>89</x:v>
      </x:c>
      <x:c r="C127" s="12" t="n">
        <x:f>B127/100</x:f>
        <x:v>0.89</x:v>
      </x:c>
      <x:c r="D127" s="10" t="n">
        <x:v>9</x:v>
      </x:c>
      <x:c r="E127" s="10" t="n">
        <x:v>2</x:v>
      </x:c>
      <x:c r="F127" s="10" t="n">
        <x:v>1</x:v>
      </x:c>
      <x:c r="G127" s="10" t="n">
        <x:v>1</x:v>
      </x:c>
      <x:c r="H127" s="11" t="str">
        <x:v>最大亮度</x:v>
      </x:c>
      <x:c r="I127" s="11" t="str">
        <x:v>部分转写</x:v>
      </x:c>
      <x:c r="J127" s="9" t="n">
        <x:v>40</x:v>
      </x:c>
      <x:c r="K127" s="9" t="n">
        <x:v>22</x:v>
      </x:c>
      <x:c r="L127" s="9" t="n">
        <x:v>1</x:v>
      </x:c>
      <x:c r="M127" s="13" t="n">
        <x:f>(D127+E127+F127)/100</x:f>
        <x:v>0.12</x:v>
      </x:c>
    </x:row>
    <x:row r="128" ht="28" customHeight="1">
      <x:c r="A128" s="10" t="str">
        <x:v>px40-g23</x:v>
      </x:c>
      <x:c r="B128" s="10" t="n">
        <x:v>92</x:v>
      </x:c>
      <x:c r="C128" s="12" t="n">
        <x:f>B128/100</x:f>
        <x:v>0.92</x:v>
      </x:c>
      <x:c r="D128" s="10" t="n">
        <x:v>6</x:v>
      </x:c>
      <x:c r="E128" s="10" t="n">
        <x:v>2</x:v>
      </x:c>
      <x:c r="F128" s="10" t="n">
        <x:v>0</x:v>
      </x:c>
      <x:c r="G128" s="10" t="n">
        <x:v>0</x:v>
      </x:c>
      <x:c r="H128" s="11" t="str">
        <x:v>最大亮度</x:v>
      </x:c>
      <x:c r="I128" s="11" t="str">
        <x:v>部分转写</x:v>
      </x:c>
      <x:c r="J128" s="9" t="n">
        <x:v>40</x:v>
      </x:c>
      <x:c r="K128" s="9" t="n">
        <x:v>23</x:v>
      </x:c>
      <x:c r="L128" s="9" t="n">
        <x:v>1</x:v>
      </x:c>
      <x:c r="M128" s="13" t="n">
        <x:f>(D128+E128+F128)/100</x:f>
        <x:v>0.08</x:v>
      </x:c>
    </x:row>
    <x:row r="129" ht="28" customHeight="1">
      <x:c r="A129" s="10" t="str">
        <x:v>px40-g24</x:v>
      </x:c>
      <x:c r="B129" s="10" t="n">
        <x:v>94</x:v>
      </x:c>
      <x:c r="C129" s="12" t="n">
        <x:f>B129/100</x:f>
        <x:v>0.94</x:v>
      </x:c>
      <x:c r="D129" s="10" t="n">
        <x:v>5</x:v>
      </x:c>
      <x:c r="E129" s="10" t="n">
        <x:v>1</x:v>
      </x:c>
      <x:c r="F129" s="10" t="n">
        <x:v>0</x:v>
      </x:c>
      <x:c r="G129" s="10" t="n">
        <x:v>0</x:v>
      </x:c>
      <x:c r="H129" s="11" t="str">
        <x:v>最大亮度</x:v>
      </x:c>
      <x:c r="I129" s="11" t="str">
        <x:v>部分转写</x:v>
      </x:c>
      <x:c r="J129" s="9" t="n">
        <x:v>40</x:v>
      </x:c>
      <x:c r="K129" s="9" t="n">
        <x:v>24</x:v>
      </x:c>
      <x:c r="L129" s="9" t="n">
        <x:v>1</x:v>
      </x:c>
      <x:c r="M129" s="13" t="n">
        <x:f>(D129+E129+F129)/100</x:f>
        <x:v>0.06</x:v>
      </x:c>
    </x:row>
    <x:row r="130" ht="28" customHeight="1">
      <x:c r="A130" s="10" t="str">
        <x:v>px40-g25</x:v>
      </x:c>
      <x:c r="B130" s="10" t="n">
        <x:v>90</x:v>
      </x:c>
      <x:c r="C130" s="12" t="n">
        <x:f>B130/100</x:f>
        <x:v>0.9</x:v>
      </x:c>
      <x:c r="D130" s="10" t="n">
        <x:v>8</x:v>
      </x:c>
      <x:c r="E130" s="10" t="n">
        <x:v>2</x:v>
      </x:c>
      <x:c r="F130" s="10" t="n">
        <x:v>1</x:v>
      </x:c>
      <x:c r="G130" s="10" t="n">
        <x:v>0</x:v>
      </x:c>
      <x:c r="H130" s="11" t="str">
        <x:v>最大亮度</x:v>
      </x:c>
      <x:c r="I130" s="11" t="str">
        <x:v>部分转写</x:v>
      </x:c>
      <x:c r="J130" s="9" t="n">
        <x:v>40</x:v>
      </x:c>
      <x:c r="K130" s="9" t="n">
        <x:v>25</x:v>
      </x:c>
      <x:c r="L130" s="9" t="n">
        <x:v>1</x:v>
      </x:c>
      <x:c r="M130" s="13" t="n">
        <x:f>(D130+E130+F130)/100</x:f>
        <x:v>0.11</x:v>
      </x:c>
    </x:row>
    <x:row r="131" ht="28" customHeight="1">
      <x:c r="A131" s="10" t="str">
        <x:v>px40-g26</x:v>
      </x:c>
      <x:c r="B131" s="10" t="n">
        <x:v>94</x:v>
      </x:c>
      <x:c r="C131" s="12" t="n">
        <x:f>B131/100</x:f>
        <x:v>0.94</x:v>
      </x:c>
      <x:c r="D131" s="10" t="n">
        <x:v>5</x:v>
      </x:c>
      <x:c r="E131" s="10" t="n">
        <x:v>1</x:v>
      </x:c>
      <x:c r="F131" s="10" t="n">
        <x:v>0</x:v>
      </x:c>
      <x:c r="G131" s="10" t="n">
        <x:v>0</x:v>
      </x:c>
      <x:c r="H131" s="11" t="str">
        <x:v>最大亮度</x:v>
      </x:c>
      <x:c r="I131" s="11" t="str">
        <x:v>部分转写</x:v>
      </x:c>
      <x:c r="J131" s="9" t="n">
        <x:v>40</x:v>
      </x:c>
      <x:c r="K131" s="9" t="n">
        <x:v>26</x:v>
      </x:c>
      <x:c r="L131" s="9" t="n">
        <x:v>1</x:v>
      </x:c>
      <x:c r="M131" s="13" t="n">
        <x:f>(D131+E131+F131)/100</x:f>
        <x:v>0.06</x:v>
      </x:c>
    </x:row>
    <x:row r="132" ht="28" customHeight="1">
      <x:c r="A132" s="10" t="str">
        <x:v>px40-g27</x:v>
      </x:c>
      <x:c r="B132" s="10" t="n">
        <x:v>93</x:v>
      </x:c>
      <x:c r="C132" s="12" t="n">
        <x:f>B132/100</x:f>
        <x:v>0.93</x:v>
      </x:c>
      <x:c r="D132" s="10" t="n">
        <x:v>4</x:v>
      </x:c>
      <x:c r="E132" s="10" t="n">
        <x:v>3</x:v>
      </x:c>
      <x:c r="F132" s="10" t="n">
        <x:v>0</x:v>
      </x:c>
      <x:c r="G132" s="10" t="n">
        <x:v>0</x:v>
      </x:c>
      <x:c r="H132" s="11" t="str">
        <x:v>最大亮度</x:v>
      </x:c>
      <x:c r="I132" s="11" t="str">
        <x:v>部分转写</x:v>
      </x:c>
      <x:c r="J132" s="9" t="n">
        <x:v>40</x:v>
      </x:c>
      <x:c r="K132" s="9" t="n">
        <x:v>27</x:v>
      </x:c>
      <x:c r="L132" s="9" t="n">
        <x:v>1</x:v>
      </x:c>
      <x:c r="M132" s="13" t="n">
        <x:f>(D132+E132+F132)/100</x:f>
        <x:v>0.07</x:v>
      </x:c>
    </x:row>
    <x:row r="133" ht="28" customHeight="1">
      <x:c r="A133" s="10" t="str">
        <x:v>px40-g28</x:v>
      </x:c>
      <x:c r="B133" s="10" t="n">
        <x:v>92</x:v>
      </x:c>
      <x:c r="C133" s="12" t="n">
        <x:f>B133/100</x:f>
        <x:v>0.92</x:v>
      </x:c>
      <x:c r="D133" s="10" t="n">
        <x:v>7</x:v>
      </x:c>
      <x:c r="E133" s="10" t="n">
        <x:v>1</x:v>
      </x:c>
      <x:c r="F133" s="10" t="n">
        <x:v>0</x:v>
      </x:c>
      <x:c r="G133" s="10" t="n">
        <x:v>0</x:v>
      </x:c>
      <x:c r="H133" s="11" t="str">
        <x:v>最大亮度</x:v>
      </x:c>
      <x:c r="I133" s="11" t="str">
        <x:v>部分转写</x:v>
      </x:c>
      <x:c r="J133" s="9" t="n">
        <x:v>40</x:v>
      </x:c>
      <x:c r="K133" s="9" t="n">
        <x:v>28</x:v>
      </x:c>
      <x:c r="L133" s="9" t="n">
        <x:v>1</x:v>
      </x:c>
      <x:c r="M133" s="13" t="n">
        <x:f>(D133+E133+F133)/100</x:f>
        <x:v>0.08</x:v>
      </x:c>
    </x:row>
    <x:row r="134" ht="28" customHeight="1">
      <x:c r="A134" s="10" t="str">
        <x:v>px40-g29</x:v>
      </x:c>
      <x:c r="B134" s="10" t="n">
        <x:v>95</x:v>
      </x:c>
      <x:c r="C134" s="12" t="n">
        <x:f>B134/100</x:f>
        <x:v>0.95</x:v>
      </x:c>
      <x:c r="D134" s="10" t="n">
        <x:v>4</x:v>
      </x:c>
      <x:c r="E134" s="10" t="n">
        <x:v>1</x:v>
      </x:c>
      <x:c r="F134" s="10" t="n">
        <x:v>1</x:v>
      </x:c>
      <x:c r="G134" s="10" t="n">
        <x:v>0</x:v>
      </x:c>
      <x:c r="H134" s="11" t="str">
        <x:v>最大亮度</x:v>
      </x:c>
      <x:c r="I134" s="11" t="str">
        <x:v>部分转写</x:v>
      </x:c>
      <x:c r="J134" s="9" t="n">
        <x:v>40</x:v>
      </x:c>
      <x:c r="K134" s="9" t="n">
        <x:v>29</x:v>
      </x:c>
      <x:c r="L134" s="9" t="n">
        <x:v>1</x:v>
      </x:c>
      <x:c r="M134" s="13" t="n">
        <x:f>(D134+E134+F134)/100</x:f>
        <x:v>0.06</x:v>
      </x:c>
    </x:row>
    <x:row r="135" ht="28" customHeight="1">
      <x:c r="A135" s="10" t="str">
        <x:v>px40-g30</x:v>
      </x:c>
      <x:c r="B135" s="10" t="n">
        <x:v>96</x:v>
      </x:c>
      <x:c r="C135" s="12" t="n">
        <x:f>B135/100</x:f>
        <x:v>0.96</x:v>
      </x:c>
      <x:c r="D135" s="10" t="n">
        <x:v>4</x:v>
      </x:c>
      <x:c r="E135" s="10" t="n">
        <x:v>0</x:v>
      </x:c>
      <x:c r="F135" s="10" t="n">
        <x:v>0</x:v>
      </x:c>
      <x:c r="G135" s="10" t="n">
        <x:v>0</x:v>
      </x:c>
      <x:c r="H135" s="11" t="str">
        <x:v>最大亮度</x:v>
      </x:c>
      <x:c r="I135" s="11" t="str">
        <x:v>部分转写</x:v>
      </x:c>
      <x:c r="J135" s="9" t="n">
        <x:v>40</x:v>
      </x:c>
      <x:c r="K135" s="9" t="n">
        <x:v>30</x:v>
      </x:c>
      <x:c r="L135" s="9" t="n">
        <x:v>1</x:v>
      </x:c>
      <x:c r="M135" s="13" t="n">
        <x:f>(D135+E135+F135)/100</x:f>
        <x:v>0.04</x:v>
      </x:c>
    </x:row>
    <x:row r="136" ht="28" customHeight="1">
      <x:c r="A136" s="10" t="str">
        <x:v>px40-g31</x:v>
      </x:c>
      <x:c r="B136" s="10" t="n">
        <x:v>95</x:v>
      </x:c>
      <x:c r="C136" s="12" t="n">
        <x:f>B136/100</x:f>
        <x:v>0.95</x:v>
      </x:c>
      <x:c r="D136" s="10" t="n">
        <x:v>5</x:v>
      </x:c>
      <x:c r="E136" s="10" t="n">
        <x:v>0</x:v>
      </x:c>
      <x:c r="F136" s="10" t="n">
        <x:v>0</x:v>
      </x:c>
      <x:c r="G136" s="10" t="n">
        <x:v>0</x:v>
      </x:c>
      <x:c r="H136" s="11" t="str">
        <x:v>最大亮度</x:v>
      </x:c>
      <x:c r="I136" s="11" t="str">
        <x:v>部分转写</x:v>
      </x:c>
      <x:c r="J136" s="9" t="n">
        <x:v>40</x:v>
      </x:c>
      <x:c r="K136" s="9" t="n">
        <x:v>31</x:v>
      </x:c>
      <x:c r="L136" s="9" t="n">
        <x:v>1</x:v>
      </x:c>
      <x:c r="M136" s="13" t="n">
        <x:f>(D136+E136+F136)/100</x:f>
        <x:v>0.05</x:v>
      </x:c>
    </x:row>
    <x:row r="137" ht="28" customHeight="1">
      <x:c r="A137" s="10" t="str">
        <x:v>px40-g32</x:v>
      </x:c>
      <x:c r="B137" s="10" t="n">
        <x:v>95</x:v>
      </x:c>
      <x:c r="C137" s="12" t="n">
        <x:f>B137/100</x:f>
        <x:v>0.95</x:v>
      </x:c>
      <x:c r="D137" s="10" t="n">
        <x:v>4</x:v>
      </x:c>
      <x:c r="E137" s="10" t="n">
        <x:v>1</x:v>
      </x:c>
      <x:c r="F137" s="10" t="n">
        <x:v>1</x:v>
      </x:c>
      <x:c r="G137" s="10" t="n">
        <x:v>0</x:v>
      </x:c>
      <x:c r="H137" s="11" t="str">
        <x:v>最大亮度</x:v>
      </x:c>
      <x:c r="I137" s="11" t="str">
        <x:v>部分转写</x:v>
      </x:c>
      <x:c r="J137" s="9" t="n">
        <x:v>40</x:v>
      </x:c>
      <x:c r="K137" s="9" t="n">
        <x:v>32</x:v>
      </x:c>
      <x:c r="L137" s="9" t="n">
        <x:v>1</x:v>
      </x:c>
      <x:c r="M137" s="13" t="n">
        <x:f>(D137+E137+F137)/100</x:f>
        <x:v>0.06</x:v>
      </x:c>
    </x:row>
    <x:row r="138" ht="28" customHeight="1">
      <x:c r="A138" s="10" t="str">
        <x:v>px64-g01</x:v>
      </x:c>
      <x:c r="B138" s="10" t="n">
        <x:v>0</x:v>
      </x:c>
      <x:c r="C138" s="12" t="n">
        <x:f>B138/100</x:f>
        <x:v>0</x:v>
      </x:c>
      <x:c r="D138" s="10" t="n">
        <x:v>0</x:v>
      </x:c>
      <x:c r="E138" s="10" t="n">
        <x:v>100</x:v>
      </x:c>
      <x:c r="F138" s="10" t="n">
        <x:v>0</x:v>
      </x:c>
      <x:c r="G138" s="10" t="n">
        <x:v>0</x:v>
      </x:c>
      <x:c r="H138" s="11" t="str">
        <x:v>最大亮度</x:v>
      </x:c>
      <x:c r="I138" s="11" t="str">
        <x:v>不可读</x:v>
      </x:c>
      <x:c r="J138" s="9" t="n">
        <x:v>64</x:v>
      </x:c>
      <x:c r="K138" s="9" t="n">
        <x:v>1</x:v>
      </x:c>
      <x:c r="L138" s="9" t="n">
        <x:v>1</x:v>
      </x:c>
      <x:c r="M138" s="13" t="n">
        <x:f>(D138+E138+F138)/100</x:f>
        <x:v>1</x:v>
      </x:c>
    </x:row>
    <x:row r="139" ht="28" customHeight="1">
      <x:c r="A139" s="10" t="str">
        <x:v>px64-g02</x:v>
      </x:c>
      <x:c r="B139" s="10" t="n">
        <x:v>0</x:v>
      </x:c>
      <x:c r="C139" s="12" t="n">
        <x:f>B139/100</x:f>
        <x:v>0</x:v>
      </x:c>
      <x:c r="D139" s="10" t="n">
        <x:v>0</x:v>
      </x:c>
      <x:c r="E139" s="10" t="n">
        <x:v>100</x:v>
      </x:c>
      <x:c r="F139" s="10" t="n">
        <x:v>0</x:v>
      </x:c>
      <x:c r="G139" s="10" t="n">
        <x:v>0</x:v>
      </x:c>
      <x:c r="H139" s="11" t="str">
        <x:v>最大亮度</x:v>
      </x:c>
      <x:c r="I139" s="11" t="str">
        <x:v>不可读</x:v>
      </x:c>
      <x:c r="J139" s="9" t="n">
        <x:v>64</x:v>
      </x:c>
      <x:c r="K139" s="9" t="n">
        <x:v>2</x:v>
      </x:c>
      <x:c r="L139" s="9" t="n">
        <x:v>1</x:v>
      </x:c>
      <x:c r="M139" s="13" t="n">
        <x:f>(D139+E139+F139)/100</x:f>
        <x:v>1</x:v>
      </x:c>
    </x:row>
    <x:row r="140" ht="28" customHeight="1">
      <x:c r="A140" s="10" t="str">
        <x:v>px64-g03</x:v>
      </x:c>
      <x:c r="B140" s="10" t="n">
        <x:v>0</x:v>
      </x:c>
      <x:c r="C140" s="12" t="n">
        <x:f>B140/100</x:f>
        <x:v>0</x:v>
      </x:c>
      <x:c r="D140" s="10" t="n">
        <x:v>0</x:v>
      </x:c>
      <x:c r="E140" s="10" t="n">
        <x:v>100</x:v>
      </x:c>
      <x:c r="F140" s="10" t="n">
        <x:v>0</x:v>
      </x:c>
      <x:c r="G140" s="10" t="n">
        <x:v>0</x:v>
      </x:c>
      <x:c r="H140" s="11" t="str">
        <x:v>最大亮度</x:v>
      </x:c>
      <x:c r="I140" s="11" t="str">
        <x:v>不可读</x:v>
      </x:c>
      <x:c r="J140" s="9" t="n">
        <x:v>64</x:v>
      </x:c>
      <x:c r="K140" s="9" t="n">
        <x:v>3</x:v>
      </x:c>
      <x:c r="L140" s="9" t="n">
        <x:v>1</x:v>
      </x:c>
      <x:c r="M140" s="13" t="n">
        <x:f>(D140+E140+F140)/100</x:f>
        <x:v>1</x:v>
      </x:c>
    </x:row>
    <x:row r="141" ht="28" customHeight="1">
      <x:c r="A141" s="10" t="str">
        <x:v>px64-g04</x:v>
      </x:c>
      <x:c r="B141" s="10" t="n">
        <x:v>0</x:v>
      </x:c>
      <x:c r="C141" s="12" t="n">
        <x:f>B141/100</x:f>
        <x:v>0</x:v>
      </x:c>
      <x:c r="D141" s="10" t="n">
        <x:v>0</x:v>
      </x:c>
      <x:c r="E141" s="10" t="n">
        <x:v>100</x:v>
      </x:c>
      <x:c r="F141" s="10" t="n">
        <x:v>0</x:v>
      </x:c>
      <x:c r="G141" s="10" t="n">
        <x:v>0</x:v>
      </x:c>
      <x:c r="H141" s="11" t="str">
        <x:v>最大亮度</x:v>
      </x:c>
      <x:c r="I141" s="11" t="str">
        <x:v>不可读</x:v>
      </x:c>
      <x:c r="J141" s="9" t="n">
        <x:v>64</x:v>
      </x:c>
      <x:c r="K141" s="9" t="n">
        <x:v>4</x:v>
      </x:c>
      <x:c r="L141" s="9" t="n">
        <x:v>1</x:v>
      </x:c>
      <x:c r="M141" s="13" t="n">
        <x:f>(D141+E141+F141)/100</x:f>
        <x:v>1</x:v>
      </x:c>
    </x:row>
    <x:row r="142" ht="28" customHeight="1">
      <x:c r="A142" s="10" t="str">
        <x:v>px64-g05</x:v>
      </x:c>
      <x:c r="B142" s="10" t="n">
        <x:v>73</x:v>
      </x:c>
      <x:c r="C142" s="12" t="n">
        <x:f>B142/100</x:f>
        <x:v>0.73</x:v>
      </x:c>
      <x:c r="D142" s="10" t="n">
        <x:v>21</x:v>
      </x:c>
      <x:c r="E142" s="10" t="n">
        <x:v>6</x:v>
      </x:c>
      <x:c r="F142" s="10" t="n">
        <x:v>3</x:v>
      </x:c>
      <x:c r="G142" s="10" t="n">
        <x:v>0</x:v>
      </x:c>
      <x:c r="H142" s="11" t="str">
        <x:v>最大亮度</x:v>
      </x:c>
      <x:c r="I142" s="11" t="str">
        <x:v>部分转写</x:v>
      </x:c>
      <x:c r="J142" s="9" t="n">
        <x:v>64</x:v>
      </x:c>
      <x:c r="K142" s="9" t="n">
        <x:v>5</x:v>
      </x:c>
      <x:c r="L142" s="9" t="n">
        <x:v>1</x:v>
      </x:c>
      <x:c r="M142" s="13" t="n">
        <x:f>(D142+E142+F142)/100</x:f>
        <x:v>0.3</x:v>
      </x:c>
    </x:row>
    <x:row r="143" ht="28" customHeight="1">
      <x:c r="A143" s="10" t="str">
        <x:v>px64-g06</x:v>
      </x:c>
      <x:c r="B143" s="10" t="n">
        <x:v>86</x:v>
      </x:c>
      <x:c r="C143" s="12" t="n">
        <x:f>B143/100</x:f>
        <x:v>0.86</x:v>
      </x:c>
      <x:c r="D143" s="10" t="n">
        <x:v>10</x:v>
      </x:c>
      <x:c r="E143" s="10" t="n">
        <x:v>4</x:v>
      </x:c>
      <x:c r="F143" s="10" t="n">
        <x:v>1</x:v>
      </x:c>
      <x:c r="G143" s="10" t="n">
        <x:v>0</x:v>
      </x:c>
      <x:c r="H143" s="11" t="str">
        <x:v>最大亮度</x:v>
      </x:c>
      <x:c r="I143" s="11" t="str">
        <x:v>部分转写</x:v>
      </x:c>
      <x:c r="J143" s="9" t="n">
        <x:v>64</x:v>
      </x:c>
      <x:c r="K143" s="9" t="n">
        <x:v>6</x:v>
      </x:c>
      <x:c r="L143" s="9" t="n">
        <x:v>1</x:v>
      </x:c>
      <x:c r="M143" s="13" t="n">
        <x:f>(D143+E143+F143)/100</x:f>
        <x:v>0.15</x:v>
      </x:c>
    </x:row>
    <x:row r="144" ht="28" customHeight="1">
      <x:c r="A144" s="10" t="str">
        <x:v>px64-g07</x:v>
      </x:c>
      <x:c r="B144" s="10" t="n">
        <x:v>89</x:v>
      </x:c>
      <x:c r="C144" s="12" t="n">
        <x:f>B144/100</x:f>
        <x:v>0.89</x:v>
      </x:c>
      <x:c r="D144" s="10" t="n">
        <x:v>7</x:v>
      </x:c>
      <x:c r="E144" s="10" t="n">
        <x:v>4</x:v>
      </x:c>
      <x:c r="F144" s="10" t="n">
        <x:v>3</x:v>
      </x:c>
      <x:c r="G144" s="10" t="n">
        <x:v>0</x:v>
      </x:c>
      <x:c r="H144" s="11" t="str">
        <x:v>最大亮度</x:v>
      </x:c>
      <x:c r="I144" s="11" t="str">
        <x:v>部分转写</x:v>
      </x:c>
      <x:c r="J144" s="9" t="n">
        <x:v>64</x:v>
      </x:c>
      <x:c r="K144" s="9" t="n">
        <x:v>7</x:v>
      </x:c>
      <x:c r="L144" s="9" t="n">
        <x:v>1</x:v>
      </x:c>
      <x:c r="M144" s="13" t="n">
        <x:f>(D144+E144+F144)/100</x:f>
        <x:v>0.14</x:v>
      </x:c>
    </x:row>
    <x:row r="145" ht="28" customHeight="1">
      <x:c r="A145" s="10" t="str">
        <x:v>px64-g08</x:v>
      </x:c>
      <x:c r="B145" s="10" t="n">
        <x:v>91</x:v>
      </x:c>
      <x:c r="C145" s="12" t="n">
        <x:f>B145/100</x:f>
        <x:v>0.91</x:v>
      </x:c>
      <x:c r="D145" s="10" t="n">
        <x:v>8</x:v>
      </x:c>
      <x:c r="E145" s="10" t="n">
        <x:v>1</x:v>
      </x:c>
      <x:c r="F145" s="10" t="n">
        <x:v>1</x:v>
      </x:c>
      <x:c r="G145" s="10" t="n">
        <x:v>0</x:v>
      </x:c>
      <x:c r="H145" s="11" t="str">
        <x:v>最大亮度</x:v>
      </x:c>
      <x:c r="I145" s="11" t="str">
        <x:v>部分转写</x:v>
      </x:c>
      <x:c r="J145" s="9" t="n">
        <x:v>64</x:v>
      </x:c>
      <x:c r="K145" s="9" t="n">
        <x:v>8</x:v>
      </x:c>
      <x:c r="L145" s="9" t="n">
        <x:v>1</x:v>
      </x:c>
      <x:c r="M145" s="13" t="n">
        <x:f>(D145+E145+F145)/100</x:f>
        <x:v>0.1</x:v>
      </x:c>
    </x:row>
    <x:row r="146" ht="28" customHeight="1">
      <x:c r="A146" s="10" t="str">
        <x:v>px64-g09</x:v>
      </x:c>
      <x:c r="B146" s="10" t="n">
        <x:v>85</x:v>
      </x:c>
      <x:c r="C146" s="12" t="n">
        <x:f>B146/100</x:f>
        <x:v>0.85</x:v>
      </x:c>
      <x:c r="D146" s="10" t="n">
        <x:v>13</x:v>
      </x:c>
      <x:c r="E146" s="10" t="n">
        <x:v>2</x:v>
      </x:c>
      <x:c r="F146" s="10" t="n">
        <x:v>0</x:v>
      </x:c>
      <x:c r="G146" s="10" t="n">
        <x:v>0</x:v>
      </x:c>
      <x:c r="H146" s="11" t="str">
        <x:v>最大亮度</x:v>
      </x:c>
      <x:c r="I146" s="11" t="str">
        <x:v>部分转写</x:v>
      </x:c>
      <x:c r="J146" s="9" t="n">
        <x:v>64</x:v>
      </x:c>
      <x:c r="K146" s="9" t="n">
        <x:v>9</x:v>
      </x:c>
      <x:c r="L146" s="9" t="n">
        <x:v>1</x:v>
      </x:c>
      <x:c r="M146" s="13" t="n">
        <x:f>(D146+E146+F146)/100</x:f>
        <x:v>0.15</x:v>
      </x:c>
    </x:row>
    <x:row r="147" ht="28" customHeight="1">
      <x:c r="A147" s="10" t="str">
        <x:v>px64-g10</x:v>
      </x:c>
      <x:c r="B147" s="10" t="n">
        <x:v>92</x:v>
      </x:c>
      <x:c r="C147" s="12" t="n">
        <x:f>B147/100</x:f>
        <x:v>0.92</x:v>
      </x:c>
      <x:c r="D147" s="10" t="n">
        <x:v>8</x:v>
      </x:c>
      <x:c r="E147" s="10" t="n">
        <x:v>0</x:v>
      </x:c>
      <x:c r="F147" s="10" t="n">
        <x:v>1</x:v>
      </x:c>
      <x:c r="G147" s="10" t="n">
        <x:v>0</x:v>
      </x:c>
      <x:c r="H147" s="11" t="str">
        <x:v>最大亮度</x:v>
      </x:c>
      <x:c r="I147" s="11" t="str">
        <x:v>部分转写</x:v>
      </x:c>
      <x:c r="J147" s="9" t="n">
        <x:v>64</x:v>
      </x:c>
      <x:c r="K147" s="9" t="n">
        <x:v>10</x:v>
      </x:c>
      <x:c r="L147" s="9" t="n">
        <x:v>1</x:v>
      </x:c>
      <x:c r="M147" s="13" t="n">
        <x:f>(D147+E147+F147)/100</x:f>
        <x:v>0.09</x:v>
      </x:c>
    </x:row>
    <x:row r="148" ht="28" customHeight="1">
      <x:c r="A148" s="10" t="str">
        <x:v>px64-g11</x:v>
      </x:c>
      <x:c r="B148" s="10" t="n">
        <x:v>97</x:v>
      </x:c>
      <x:c r="C148" s="12" t="n">
        <x:f>B148/100</x:f>
        <x:v>0.97</x:v>
      </x:c>
      <x:c r="D148" s="10" t="n">
        <x:v>3</x:v>
      </x:c>
      <x:c r="E148" s="10" t="n">
        <x:v>0</x:v>
      </x:c>
      <x:c r="F148" s="10" t="n">
        <x:v>1</x:v>
      </x:c>
      <x:c r="G148" s="10" t="n">
        <x:v>0</x:v>
      </x:c>
      <x:c r="H148" s="11" t="str">
        <x:v>最大亮度</x:v>
      </x:c>
      <x:c r="I148" s="11" t="str">
        <x:v>部分转写</x:v>
      </x:c>
      <x:c r="J148" s="9" t="n">
        <x:v>64</x:v>
      </x:c>
      <x:c r="K148" s="9" t="n">
        <x:v>11</x:v>
      </x:c>
      <x:c r="L148" s="9" t="n">
        <x:v>1</x:v>
      </x:c>
      <x:c r="M148" s="13" t="n">
        <x:f>(D148+E148+F148)/100</x:f>
        <x:v>0.04</x:v>
      </x:c>
    </x:row>
    <x:row r="149" ht="28" customHeight="1">
      <x:c r="A149" s="10" t="str">
        <x:v>px64-g12</x:v>
      </x:c>
      <x:c r="B149" s="10" t="n">
        <x:v>95</x:v>
      </x:c>
      <x:c r="C149" s="12" t="n">
        <x:f>B149/100</x:f>
        <x:v>0.95</x:v>
      </x:c>
      <x:c r="D149" s="10" t="n">
        <x:v>5</x:v>
      </x:c>
      <x:c r="E149" s="10" t="n">
        <x:v>0</x:v>
      </x:c>
      <x:c r="F149" s="10" t="n">
        <x:v>1</x:v>
      </x:c>
      <x:c r="G149" s="10" t="n">
        <x:v>0</x:v>
      </x:c>
      <x:c r="H149" s="11" t="str">
        <x:v>最大亮度</x:v>
      </x:c>
      <x:c r="I149" s="11" t="str">
        <x:v>部分转写</x:v>
      </x:c>
      <x:c r="J149" s="9" t="n">
        <x:v>64</x:v>
      </x:c>
      <x:c r="K149" s="9" t="n">
        <x:v>12</x:v>
      </x:c>
      <x:c r="L149" s="9" t="n">
        <x:v>1</x:v>
      </x:c>
      <x:c r="M149" s="13" t="n">
        <x:f>(D149+E149+F149)/100</x:f>
        <x:v>0.06</x:v>
      </x:c>
    </x:row>
    <x:row r="150" ht="28" customHeight="1">
      <x:c r="A150" s="10" t="str">
        <x:v>px64-g13</x:v>
      </x:c>
      <x:c r="B150" s="10" t="n">
        <x:v>94</x:v>
      </x:c>
      <x:c r="C150" s="12" t="n">
        <x:f>B150/100</x:f>
        <x:v>0.94</x:v>
      </x:c>
      <x:c r="D150" s="10" t="n">
        <x:v>5</x:v>
      </x:c>
      <x:c r="E150" s="10" t="n">
        <x:v>1</x:v>
      </x:c>
      <x:c r="F150" s="10" t="n">
        <x:v>1</x:v>
      </x:c>
      <x:c r="G150" s="10" t="n">
        <x:v>0</x:v>
      </x:c>
      <x:c r="H150" s="11" t="str">
        <x:v>最大亮度</x:v>
      </x:c>
      <x:c r="I150" s="11" t="str">
        <x:v>部分转写</x:v>
      </x:c>
      <x:c r="J150" s="9" t="n">
        <x:v>64</x:v>
      </x:c>
      <x:c r="K150" s="9" t="n">
        <x:v>13</x:v>
      </x:c>
      <x:c r="L150" s="9" t="n">
        <x:v>1</x:v>
      </x:c>
      <x:c r="M150" s="13" t="n">
        <x:f>(D150+E150+F150)/100</x:f>
        <x:v>0.07</x:v>
      </x:c>
    </x:row>
    <x:row r="151" ht="28" customHeight="1">
      <x:c r="A151" s="10" t="str">
        <x:v>px64-g14</x:v>
      </x:c>
      <x:c r="B151" s="10" t="n">
        <x:v>94</x:v>
      </x:c>
      <x:c r="C151" s="12" t="n">
        <x:f>B151/100</x:f>
        <x:v>0.94</x:v>
      </x:c>
      <x:c r="D151" s="10" t="n">
        <x:v>6</x:v>
      </x:c>
      <x:c r="E151" s="10" t="n">
        <x:v>0</x:v>
      </x:c>
      <x:c r="F151" s="10" t="n">
        <x:v>0</x:v>
      </x:c>
      <x:c r="G151" s="10" t="n">
        <x:v>0</x:v>
      </x:c>
      <x:c r="H151" s="11" t="str">
        <x:v>最大亮度</x:v>
      </x:c>
      <x:c r="I151" s="11" t="str">
        <x:v>部分转写</x:v>
      </x:c>
      <x:c r="J151" s="9" t="n">
        <x:v>64</x:v>
      </x:c>
      <x:c r="K151" s="9" t="n">
        <x:v>14</x:v>
      </x:c>
      <x:c r="L151" s="9" t="n">
        <x:v>1</x:v>
      </x:c>
      <x:c r="M151" s="13" t="n">
        <x:f>(D151+E151+F151)/100</x:f>
        <x:v>0.06</x:v>
      </x:c>
    </x:row>
    <x:row r="152" ht="28" customHeight="1">
      <x:c r="A152" s="10" t="str">
        <x:v>px64-g15</x:v>
      </x:c>
      <x:c r="B152" s="10" t="n">
        <x:v>95</x:v>
      </x:c>
      <x:c r="C152" s="12" t="n">
        <x:f>B152/100</x:f>
        <x:v>0.95</x:v>
      </x:c>
      <x:c r="D152" s="10" t="n">
        <x:v>5</x:v>
      </x:c>
      <x:c r="E152" s="10" t="n">
        <x:v>0</x:v>
      </x:c>
      <x:c r="F152" s="10" t="n">
        <x:v>0</x:v>
      </x:c>
      <x:c r="G152" s="10" t="n">
        <x:v>0</x:v>
      </x:c>
      <x:c r="H152" s="11" t="str">
        <x:v>最大亮度</x:v>
      </x:c>
      <x:c r="I152" s="11" t="str">
        <x:v>部分转写</x:v>
      </x:c>
      <x:c r="J152" s="9" t="n">
        <x:v>64</x:v>
      </x:c>
      <x:c r="K152" s="9" t="n">
        <x:v>15</x:v>
      </x:c>
      <x:c r="L152" s="9" t="n">
        <x:v>1</x:v>
      </x:c>
      <x:c r="M152" s="13" t="n">
        <x:f>(D152+E152+F152)/100</x:f>
        <x:v>0.05</x:v>
      </x:c>
    </x:row>
    <x:row r="153" ht="28" customHeight="1">
      <x:c r="A153" s="10" t="str">
        <x:v>px64-g16</x:v>
      </x:c>
      <x:c r="B153" s="10" t="n">
        <x:v>94</x:v>
      </x:c>
      <x:c r="C153" s="12" t="n">
        <x:f>B153/100</x:f>
        <x:v>0.94</x:v>
      </x:c>
      <x:c r="D153" s="10" t="n">
        <x:v>6</x:v>
      </x:c>
      <x:c r="E153" s="10" t="n">
        <x:v>0</x:v>
      </x:c>
      <x:c r="F153" s="10" t="n">
        <x:v>0</x:v>
      </x:c>
      <x:c r="G153" s="10" t="n">
        <x:v>0</x:v>
      </x:c>
      <x:c r="H153" s="11" t="str">
        <x:v>最大亮度</x:v>
      </x:c>
      <x:c r="I153" s="11" t="str">
        <x:v>部分转写</x:v>
      </x:c>
      <x:c r="J153" s="9" t="n">
        <x:v>64</x:v>
      </x:c>
      <x:c r="K153" s="9" t="n">
        <x:v>16</x:v>
      </x:c>
      <x:c r="L153" s="9" t="n">
        <x:v>1</x:v>
      </x:c>
      <x:c r="M153" s="13" t="n">
        <x:f>(D153+E153+F153)/100</x:f>
        <x:v>0.06</x:v>
      </x:c>
    </x:row>
    <x:row r="154" ht="28" customHeight="1">
      <x:c r="A154" s="10" t="str">
        <x:v>px64-g17</x:v>
      </x:c>
      <x:c r="B154" s="10" t="n">
        <x:v>96</x:v>
      </x:c>
      <x:c r="C154" s="12" t="n">
        <x:f>B154/100</x:f>
        <x:v>0.96</x:v>
      </x:c>
      <x:c r="D154" s="10" t="n">
        <x:v>4</x:v>
      </x:c>
      <x:c r="E154" s="10" t="n">
        <x:v>0</x:v>
      </x:c>
      <x:c r="F154" s="10" t="n">
        <x:v>0</x:v>
      </x:c>
      <x:c r="G154" s="10" t="n">
        <x:v>0</x:v>
      </x:c>
      <x:c r="H154" s="11" t="str">
        <x:v>最大亮度</x:v>
      </x:c>
      <x:c r="I154" s="11" t="str">
        <x:v>部分转写</x:v>
      </x:c>
      <x:c r="J154" s="9" t="n">
        <x:v>64</x:v>
      </x:c>
      <x:c r="K154" s="9" t="n">
        <x:v>17</x:v>
      </x:c>
      <x:c r="L154" s="9" t="n">
        <x:v>1</x:v>
      </x:c>
      <x:c r="M154" s="13" t="n">
        <x:f>(D154+E154+F154)/100</x:f>
        <x:v>0.04</x:v>
      </x:c>
    </x:row>
    <x:row r="155" ht="28" customHeight="1">
      <x:c r="A155" s="10" t="str">
        <x:v>px64-g18</x:v>
      </x:c>
      <x:c r="B155" s="10" t="n">
        <x:v>98</x:v>
      </x:c>
      <x:c r="C155" s="12" t="n">
        <x:f>B155/100</x:f>
        <x:v>0.98</x:v>
      </x:c>
      <x:c r="D155" s="10" t="n">
        <x:v>2</x:v>
      </x:c>
      <x:c r="E155" s="10" t="n">
        <x:v>0</x:v>
      </x:c>
      <x:c r="F155" s="10" t="n">
        <x:v>0</x:v>
      </x:c>
      <x:c r="G155" s="10" t="n">
        <x:v>0</x:v>
      </x:c>
      <x:c r="H155" s="11" t="str">
        <x:v>最大亮度</x:v>
      </x:c>
      <x:c r="I155" s="11" t="str">
        <x:v>部分转写</x:v>
      </x:c>
      <x:c r="J155" s="9" t="n">
        <x:v>64</x:v>
      </x:c>
      <x:c r="K155" s="9" t="n">
        <x:v>18</x:v>
      </x:c>
      <x:c r="L155" s="9" t="n">
        <x:v>1</x:v>
      </x:c>
      <x:c r="M155" s="13" t="n">
        <x:f>(D155+E155+F155)/100</x:f>
        <x:v>0.02</x:v>
      </x:c>
    </x:row>
    <x:row r="156" ht="28" customHeight="1">
      <x:c r="A156" s="10" t="str">
        <x:v>px64-g19</x:v>
      </x:c>
      <x:c r="B156" s="10" t="n">
        <x:v>96</x:v>
      </x:c>
      <x:c r="C156" s="12" t="n">
        <x:f>B156/100</x:f>
        <x:v>0.96</x:v>
      </x:c>
      <x:c r="D156" s="10" t="n">
        <x:v>4</x:v>
      </x:c>
      <x:c r="E156" s="10" t="n">
        <x:v>0</x:v>
      </x:c>
      <x:c r="F156" s="10" t="n">
        <x:v>0</x:v>
      </x:c>
      <x:c r="G156" s="10" t="n">
        <x:v>0</x:v>
      </x:c>
      <x:c r="H156" s="11" t="str">
        <x:v>最大亮度</x:v>
      </x:c>
      <x:c r="I156" s="11" t="str">
        <x:v>部分转写</x:v>
      </x:c>
      <x:c r="J156" s="9" t="n">
        <x:v>64</x:v>
      </x:c>
      <x:c r="K156" s="9" t="n">
        <x:v>19</x:v>
      </x:c>
      <x:c r="L156" s="9" t="n">
        <x:v>1</x:v>
      </x:c>
      <x:c r="M156" s="13" t="n">
        <x:f>(D156+E156+F156)/100</x:f>
        <x:v>0.04</x:v>
      </x:c>
    </x:row>
    <x:row r="157" ht="28" customHeight="1">
      <x:c r="A157" s="10" t="str">
        <x:v>px64-g20</x:v>
      </x:c>
      <x:c r="B157" s="10" t="n">
        <x:v>97</x:v>
      </x:c>
      <x:c r="C157" s="12" t="n">
        <x:f>B157/100</x:f>
        <x:v>0.97</x:v>
      </x:c>
      <x:c r="D157" s="10" t="n">
        <x:v>3</x:v>
      </x:c>
      <x:c r="E157" s="10" t="n">
        <x:v>0</x:v>
      </x:c>
      <x:c r="F157" s="10" t="n">
        <x:v>0</x:v>
      </x:c>
      <x:c r="G157" s="10" t="n">
        <x:v>0</x:v>
      </x:c>
      <x:c r="H157" s="11" t="str">
        <x:v>最大亮度</x:v>
      </x:c>
      <x:c r="I157" s="11" t="str">
        <x:v>部分转写</x:v>
      </x:c>
      <x:c r="J157" s="9" t="n">
        <x:v>64</x:v>
      </x:c>
      <x:c r="K157" s="9" t="n">
        <x:v>20</x:v>
      </x:c>
      <x:c r="L157" s="9" t="n">
        <x:v>1</x:v>
      </x:c>
      <x:c r="M157" s="13" t="n">
        <x:f>(D157+E157+F157)/100</x:f>
        <x:v>0.03</x:v>
      </x:c>
    </x:row>
    <x:row r="158" ht="28" customHeight="1">
      <x:c r="A158" s="10" t="str">
        <x:v>px64-g21</x:v>
      </x:c>
      <x:c r="B158" s="10" t="n">
        <x:v>97</x:v>
      </x:c>
      <x:c r="C158" s="12" t="n">
        <x:f>B158/100</x:f>
        <x:v>0.97</x:v>
      </x:c>
      <x:c r="D158" s="10" t="n">
        <x:v>3</x:v>
      </x:c>
      <x:c r="E158" s="10" t="n">
        <x:v>0</x:v>
      </x:c>
      <x:c r="F158" s="10" t="n">
        <x:v>0</x:v>
      </x:c>
      <x:c r="G158" s="10" t="n">
        <x:v>0</x:v>
      </x:c>
      <x:c r="H158" s="11" t="str">
        <x:v>最大亮度</x:v>
      </x:c>
      <x:c r="I158" s="11" t="str">
        <x:v>部分转写</x:v>
      </x:c>
      <x:c r="J158" s="9" t="n">
        <x:v>64</x:v>
      </x:c>
      <x:c r="K158" s="9" t="n">
        <x:v>21</x:v>
      </x:c>
      <x:c r="L158" s="9" t="n">
        <x:v>1</x:v>
      </x:c>
      <x:c r="M158" s="13" t="n">
        <x:f>(D158+E158+F158)/100</x:f>
        <x:v>0.03</x:v>
      </x:c>
    </x:row>
    <x:row r="159" ht="28" customHeight="1">
      <x:c r="A159" s="10" t="str">
        <x:v>px64-g22</x:v>
      </x:c>
      <x:c r="B159" s="10" t="n">
        <x:v>98</x:v>
      </x:c>
      <x:c r="C159" s="12" t="n">
        <x:f>B159/100</x:f>
        <x:v>0.98</x:v>
      </x:c>
      <x:c r="D159" s="10" t="n">
        <x:v>2</x:v>
      </x:c>
      <x:c r="E159" s="10" t="n">
        <x:v>0</x:v>
      </x:c>
      <x:c r="F159" s="10" t="n">
        <x:v>0</x:v>
      </x:c>
      <x:c r="G159" s="10" t="n">
        <x:v>0</x:v>
      </x:c>
      <x:c r="H159" s="11" t="str">
        <x:v>最大亮度</x:v>
      </x:c>
      <x:c r="I159" s="11" t="str">
        <x:v>部分转写</x:v>
      </x:c>
      <x:c r="J159" s="9" t="n">
        <x:v>64</x:v>
      </x:c>
      <x:c r="K159" s="9" t="n">
        <x:v>22</x:v>
      </x:c>
      <x:c r="L159" s="9" t="n">
        <x:v>1</x:v>
      </x:c>
      <x:c r="M159" s="13" t="n">
        <x:f>(D159+E159+F159)/100</x:f>
        <x:v>0.02</x:v>
      </x:c>
    </x:row>
    <x:row r="160" ht="28" customHeight="1">
      <x:c r="A160" s="10" t="str">
        <x:v>px64-g23</x:v>
      </x:c>
      <x:c r="B160" s="10" t="n">
        <x:v>97</x:v>
      </x:c>
      <x:c r="C160" s="12" t="n">
        <x:f>B160/100</x:f>
        <x:v>0.97</x:v>
      </x:c>
      <x:c r="D160" s="10" t="n">
        <x:v>3</x:v>
      </x:c>
      <x:c r="E160" s="10" t="n">
        <x:v>0</x:v>
      </x:c>
      <x:c r="F160" s="10" t="n">
        <x:v>0</x:v>
      </x:c>
      <x:c r="G160" s="10" t="n">
        <x:v>0</x:v>
      </x:c>
      <x:c r="H160" s="11" t="str">
        <x:v>最大亮度</x:v>
      </x:c>
      <x:c r="I160" s="11" t="str">
        <x:v>部分转写</x:v>
      </x:c>
      <x:c r="J160" s="9" t="n">
        <x:v>64</x:v>
      </x:c>
      <x:c r="K160" s="9" t="n">
        <x:v>23</x:v>
      </x:c>
      <x:c r="L160" s="9" t="n">
        <x:v>1</x:v>
      </x:c>
      <x:c r="M160" s="13" t="n">
        <x:f>(D160+E160+F160)/100</x:f>
        <x:v>0.03</x:v>
      </x:c>
    </x:row>
    <x:row r="161" ht="28" customHeight="1">
      <x:c r="A161" s="10" t="str">
        <x:v>px64-g24</x:v>
      </x:c>
      <x:c r="B161" s="10" t="n">
        <x:v>98</x:v>
      </x:c>
      <x:c r="C161" s="12" t="n">
        <x:f>B161/100</x:f>
        <x:v>0.98</x:v>
      </x:c>
      <x:c r="D161" s="10" t="n">
        <x:v>2</x:v>
      </x:c>
      <x:c r="E161" s="10" t="n">
        <x:v>0</x:v>
      </x:c>
      <x:c r="F161" s="10" t="n">
        <x:v>1</x:v>
      </x:c>
      <x:c r="G161" s="10" t="n">
        <x:v>0</x:v>
      </x:c>
      <x:c r="H161" s="11" t="str">
        <x:v>最大亮度</x:v>
      </x:c>
      <x:c r="I161" s="11" t="str">
        <x:v>部分转写</x:v>
      </x:c>
      <x:c r="J161" s="9" t="n">
        <x:v>64</x:v>
      </x:c>
      <x:c r="K161" s="9" t="n">
        <x:v>24</x:v>
      </x:c>
      <x:c r="L161" s="9" t="n">
        <x:v>1</x:v>
      </x:c>
      <x:c r="M161" s="13" t="n">
        <x:f>(D161+E161+F161)/100</x:f>
        <x:v>0.03</x:v>
      </x:c>
    </x:row>
    <x:row r="162" ht="28" customHeight="1">
      <x:c r="A162" s="10" t="str">
        <x:v>px64-g25</x:v>
      </x:c>
      <x:c r="B162" s="10" t="n">
        <x:v>98</x:v>
      </x:c>
      <x:c r="C162" s="12" t="n">
        <x:f>B162/100</x:f>
        <x:v>0.98</x:v>
      </x:c>
      <x:c r="D162" s="10" t="n">
        <x:v>2</x:v>
      </x:c>
      <x:c r="E162" s="10" t="n">
        <x:v>0</x:v>
      </x:c>
      <x:c r="F162" s="10" t="n">
        <x:v>0</x:v>
      </x:c>
      <x:c r="G162" s="10" t="n">
        <x:v>0</x:v>
      </x:c>
      <x:c r="H162" s="11" t="str">
        <x:v>最大亮度</x:v>
      </x:c>
      <x:c r="I162" s="11" t="str">
        <x:v>部分转写</x:v>
      </x:c>
      <x:c r="J162" s="9" t="n">
        <x:v>64</x:v>
      </x:c>
      <x:c r="K162" s="9" t="n">
        <x:v>25</x:v>
      </x:c>
      <x:c r="L162" s="9" t="n">
        <x:v>1</x:v>
      </x:c>
      <x:c r="M162" s="13" t="n">
        <x:f>(D162+E162+F162)/100</x:f>
        <x:v>0.02</x:v>
      </x:c>
    </x:row>
    <x:row r="163" ht="28" customHeight="1">
      <x:c r="A163" s="10" t="str">
        <x:v>px64-g26</x:v>
      </x:c>
      <x:c r="B163" s="10" t="n">
        <x:v>96</x:v>
      </x:c>
      <x:c r="C163" s="12" t="n">
        <x:f>B163/100</x:f>
        <x:v>0.96</x:v>
      </x:c>
      <x:c r="D163" s="10" t="n">
        <x:v>4</x:v>
      </x:c>
      <x:c r="E163" s="10" t="n">
        <x:v>0</x:v>
      </x:c>
      <x:c r="F163" s="10" t="n">
        <x:v>1</x:v>
      </x:c>
      <x:c r="G163" s="10" t="n">
        <x:v>0</x:v>
      </x:c>
      <x:c r="H163" s="11" t="str">
        <x:v>最大亮度</x:v>
      </x:c>
      <x:c r="I163" s="11" t="str">
        <x:v>部分转写</x:v>
      </x:c>
      <x:c r="J163" s="9" t="n">
        <x:v>64</x:v>
      </x:c>
      <x:c r="K163" s="9" t="n">
        <x:v>26</x:v>
      </x:c>
      <x:c r="L163" s="9" t="n">
        <x:v>1</x:v>
      </x:c>
      <x:c r="M163" s="13" t="n">
        <x:f>(D163+E163+F163)/100</x:f>
        <x:v>0.05</x:v>
      </x:c>
    </x:row>
    <x:row r="164" ht="28" customHeight="1">
      <x:c r="A164" s="10" t="str">
        <x:v>px64-g27</x:v>
      </x:c>
      <x:c r="B164" s="10" t="n">
        <x:v>98</x:v>
      </x:c>
      <x:c r="C164" s="12" t="n">
        <x:f>B164/100</x:f>
        <x:v>0.98</x:v>
      </x:c>
      <x:c r="D164" s="10" t="n">
        <x:v>2</x:v>
      </x:c>
      <x:c r="E164" s="10" t="n">
        <x:v>0</x:v>
      </x:c>
      <x:c r="F164" s="10" t="n">
        <x:v>0</x:v>
      </x:c>
      <x:c r="G164" s="10" t="n">
        <x:v>0</x:v>
      </x:c>
      <x:c r="H164" s="11" t="str">
        <x:v>最大亮度</x:v>
      </x:c>
      <x:c r="I164" s="11" t="str">
        <x:v>部分转写</x:v>
      </x:c>
      <x:c r="J164" s="9" t="n">
        <x:v>64</x:v>
      </x:c>
      <x:c r="K164" s="9" t="n">
        <x:v>27</x:v>
      </x:c>
      <x:c r="L164" s="9" t="n">
        <x:v>1</x:v>
      </x:c>
      <x:c r="M164" s="13" t="n">
        <x:f>(D164+E164+F164)/100</x:f>
        <x:v>0.02</x:v>
      </x:c>
    </x:row>
    <x:row r="165" ht="28" customHeight="1">
      <x:c r="A165" s="10" t="str">
        <x:v>px64-g28</x:v>
      </x:c>
      <x:c r="B165" s="10" t="n">
        <x:v>95</x:v>
      </x:c>
      <x:c r="C165" s="12" t="n">
        <x:f>B165/100</x:f>
        <x:v>0.95</x:v>
      </x:c>
      <x:c r="D165" s="10" t="n">
        <x:v>5</x:v>
      </x:c>
      <x:c r="E165" s="10" t="n">
        <x:v>0</x:v>
      </x:c>
      <x:c r="F165" s="10" t="n">
        <x:v>1</x:v>
      </x:c>
      <x:c r="G165" s="10" t="n">
        <x:v>0</x:v>
      </x:c>
      <x:c r="H165" s="11" t="str">
        <x:v>最大亮度</x:v>
      </x:c>
      <x:c r="I165" s="11" t="str">
        <x:v>部分转写</x:v>
      </x:c>
      <x:c r="J165" s="9" t="n">
        <x:v>64</x:v>
      </x:c>
      <x:c r="K165" s="9" t="n">
        <x:v>28</x:v>
      </x:c>
      <x:c r="L165" s="9" t="n">
        <x:v>1</x:v>
      </x:c>
      <x:c r="M165" s="13" t="n">
        <x:f>(D165+E165+F165)/100</x:f>
        <x:v>0.06</x:v>
      </x:c>
    </x:row>
    <x:row r="166" ht="28" customHeight="1">
      <x:c r="A166" s="10" t="str">
        <x:v>px64-g29</x:v>
      </x:c>
      <x:c r="B166" s="10" t="n">
        <x:v>98</x:v>
      </x:c>
      <x:c r="C166" s="12" t="n">
        <x:f>B166/100</x:f>
        <x:v>0.98</x:v>
      </x:c>
      <x:c r="D166" s="10" t="n">
        <x:v>2</x:v>
      </x:c>
      <x:c r="E166" s="10" t="n">
        <x:v>0</x:v>
      </x:c>
      <x:c r="F166" s="10" t="n">
        <x:v>1</x:v>
      </x:c>
      <x:c r="G166" s="10" t="n">
        <x:v>0</x:v>
      </x:c>
      <x:c r="H166" s="11" t="str">
        <x:v>最大亮度</x:v>
      </x:c>
      <x:c r="I166" s="11" t="str">
        <x:v>部分转写</x:v>
      </x:c>
      <x:c r="J166" s="9" t="n">
        <x:v>64</x:v>
      </x:c>
      <x:c r="K166" s="9" t="n">
        <x:v>29</x:v>
      </x:c>
      <x:c r="L166" s="9" t="n">
        <x:v>1</x:v>
      </x:c>
      <x:c r="M166" s="13" t="n">
        <x:f>(D166+E166+F166)/100</x:f>
        <x:v>0.03</x:v>
      </x:c>
    </x:row>
    <x:row r="167" ht="28" customHeight="1">
      <x:c r="A167" s="10" t="str">
        <x:v>px64-g30</x:v>
      </x:c>
      <x:c r="B167" s="10" t="n">
        <x:v>98</x:v>
      </x:c>
      <x:c r="C167" s="12" t="n">
        <x:f>B167/100</x:f>
        <x:v>0.98</x:v>
      </x:c>
      <x:c r="D167" s="10" t="n">
        <x:v>2</x:v>
      </x:c>
      <x:c r="E167" s="10" t="n">
        <x:v>0</x:v>
      </x:c>
      <x:c r="F167" s="10" t="n">
        <x:v>0</x:v>
      </x:c>
      <x:c r="G167" s="10" t="n">
        <x:v>0</x:v>
      </x:c>
      <x:c r="H167" s="11" t="str">
        <x:v>最大亮度</x:v>
      </x:c>
      <x:c r="I167" s="11" t="str">
        <x:v>部分转写</x:v>
      </x:c>
      <x:c r="J167" s="9" t="n">
        <x:v>64</x:v>
      </x:c>
      <x:c r="K167" s="9" t="n">
        <x:v>30</x:v>
      </x:c>
      <x:c r="L167" s="9" t="n">
        <x:v>1</x:v>
      </x:c>
      <x:c r="M167" s="13" t="n">
        <x:f>(D167+E167+F167)/100</x:f>
        <x:v>0.02</x:v>
      </x:c>
    </x:row>
    <x:row r="168" ht="28" customHeight="1">
      <x:c r="A168" s="10" t="str">
        <x:v>px64-g31</x:v>
      </x:c>
      <x:c r="B168" s="10" t="n">
        <x:v>97</x:v>
      </x:c>
      <x:c r="C168" s="12" t="n">
        <x:f>B168/100</x:f>
        <x:v>0.97</x:v>
      </x:c>
      <x:c r="D168" s="10" t="n">
        <x:v>3</x:v>
      </x:c>
      <x:c r="E168" s="10" t="n">
        <x:v>0</x:v>
      </x:c>
      <x:c r="F168" s="10" t="n">
        <x:v>0</x:v>
      </x:c>
      <x:c r="G168" s="10" t="n">
        <x:v>0</x:v>
      </x:c>
      <x:c r="H168" s="11" t="str">
        <x:v>最大亮度</x:v>
      </x:c>
      <x:c r="I168" s="11" t="str">
        <x:v>部分转写</x:v>
      </x:c>
      <x:c r="J168" s="9" t="n">
        <x:v>64</x:v>
      </x:c>
      <x:c r="K168" s="9" t="n">
        <x:v>31</x:v>
      </x:c>
      <x:c r="L168" s="9" t="n">
        <x:v>1</x:v>
      </x:c>
      <x:c r="M168" s="13" t="n">
        <x:f>(D168+E168+F168)/100</x:f>
        <x:v>0.03</x:v>
      </x:c>
    </x:row>
    <x:row r="169" ht="28" customHeight="1">
      <x:c r="A169" s="10" t="str">
        <x:v>px64-g32</x:v>
      </x:c>
      <x:c r="B169" s="10" t="n">
        <x:v>98</x:v>
      </x:c>
      <x:c r="C169" s="12" t="n">
        <x:f>B169/100</x:f>
        <x:v>0.98</x:v>
      </x:c>
      <x:c r="D169" s="10" t="n">
        <x:v>2</x:v>
      </x:c>
      <x:c r="E169" s="10" t="n">
        <x:v>0</x:v>
      </x:c>
      <x:c r="F169" s="10" t="n">
        <x:v>1</x:v>
      </x:c>
      <x:c r="G169" s="10" t="n">
        <x:v>0</x:v>
      </x:c>
      <x:c r="H169" s="11" t="str">
        <x:v>最大亮度</x:v>
      </x:c>
      <x:c r="I169" s="11" t="str">
        <x:v>部分转写</x:v>
      </x:c>
      <x:c r="J169" s="9" t="n">
        <x:v>64</x:v>
      </x:c>
      <x:c r="K169" s="9" t="n">
        <x:v>32</x:v>
      </x:c>
      <x:c r="L169" s="9" t="n">
        <x:v>1</x:v>
      </x:c>
      <x:c r="M169" s="13" t="n">
        <x:f>(D169+E169+F169)/100</x:f>
        <x:v>0.03</x:v>
      </x:c>
    </x:row>
    <x:row r="171" ht="30" customHeight="1">
      <x:c r="A171" s="28" t="str">
        <x:v>合计</x:v>
      </x:c>
      <x:c r="B171" s="28" t="n">
        <x:f>SUM(B10:B169)</x:f>
        <x:v>5724</x:v>
      </x:c>
      <x:c r="C171" s="29" t="n">
        <x:f>B171/16000</x:f>
        <x:v>0.35775</x:v>
      </x:c>
      <x:c r="D171" s="28" t="n">
        <x:f>SUM(D10:D169)</x:f>
        <x:v>630</x:v>
      </x:c>
      <x:c r="E171" s="28" t="n">
        <x:f>SUM(E10:E169)</x:f>
        <x:v>9646</x:v>
      </x:c>
      <x:c r="F171" s="28" t="n">
        <x:f>SUM(F10:F169)</x:f>
        <x:v>68</x:v>
      </x:c>
      <x:c r="G171" s="28" t="n">
        <x:f>SUM(G10:G169)</x:f>
        <x:v>60</x:v>
      </x:c>
      <x:c r="H171" s="28"/>
      <x:c r="I171" s="28" t="str">
        <x:v>16000个目标字符</x:v>
      </x:c>
    </x:row>
    <x:row r="173" ht="24" customHeight="1">
      <x:c r="A173" s="1" t="str">
        <x:v>错字=替换；漏字=删除；多字=插入。[UNK]视为1个未知字符，[UNREADABLE]视为空转写。</x:v>
      </x:c>
      <x:c r="B173" s="1"/>
      <x:c r="C173" s="1"/>
      <x:c r="D173" s="1"/>
      <x:c r="E173" s="1"/>
      <x:c r="F173" s="1"/>
      <x:c r="G173" s="1"/>
      <x:c r="H173" s="1"/>
      <x:c r="I173" s="1"/>
    </x:row>
    <x:row r="174" ht="24" customHeight="1">
      <x:c r="A174" s="1" t="str">
        <x:v>原始回复、截图与记录分别保存在 evidence-01，不同轮次不互相覆盖。</x:v>
      </x:c>
      <x:c r="B174" s="1"/>
      <x:c r="C174" s="1"/>
      <x:c r="D174" s="1"/>
      <x:c r="E174" s="1"/>
      <x:c r="F174" s="1"/>
      <x:c r="G174" s="1"/>
      <x:c r="H174" s="1"/>
      <x:c r="I174" s="1"/>
    </x:row>
    <x:row r="176" ht="28" customHeight="1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</x:row>
    <x:row r="177" ht="32" customHeight="1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</x:row>
    <x:row r="178" ht="32" customHeight="1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</x:row>
    <x:row r="179" ht="32" customHeight="1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</x:row>
  </x:sheetData>
  <x:mergeCells>
    <x:mergeCell ref="A2:M2"/>
    <x:mergeCell ref="A5:M5"/>
    <x:mergeCell ref="A6:M6"/>
    <x:mergeCell ref="A7:M7"/>
    <x:mergeCell ref="O2:U2"/>
    <x:mergeCell ref="O3:U3"/>
    <x:mergeCell ref="O4:U4"/>
    <x:mergeCell ref="A176:M176"/>
    <x:mergeCell ref="A177:M177"/>
    <x:mergeCell ref="A178:M178"/>
    <x:mergeCell ref="A179:M179"/>
  </x:mergeCells>
  <x:pageMargins left="0.7" right="0.7" top="0.75" bottom="0.75" header="0.3" footer="0.3"/>
  <x:tableParts count="1">
    <x:tablePart xmlns:r="http://schemas.openxmlformats.org/officeDocument/2006/relationships" r:id="R232b54eec4df491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2" hidden="0" customWidth="1"/>
    <x:col min="2" max="2" width="100" hidden="0" customWidth="1"/>
    <x:col min="3" max="3" width="36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85" hidden="0" customWidth="1"/>
  </x:cols>
  <x:sheetData>
    <x:row r="1">
      <x:c r="A1" s="1"/>
      <x:c r="B1" s="1"/>
      <x:c r="C1" s="1"/>
    </x:row>
    <x:row r="2" ht="30" customHeight="1">
      <x:c r="A2" s="23" t="str">
        <x:v>完整回复与参考字符（第01轮）</x:v>
      </x:c>
      <x:c r="B2" s="1"/>
      <x:c r="C2" s="1"/>
      <x:c r="E2" t="str">
        <x:v>48px历史数据（只读引用实验一三轮）</x:v>
      </x:c>
    </x:row>
    <x:row r="3">
      <x:c r="A3" s="1" t="str">
        <x:v>来源：evidence-01/records、responses；参考文字见本页。</x:v>
      </x:c>
      <x:c r="B3" s="1"/>
      <x:c r="C3" s="1"/>
      <x:c r="E3" t="str">
        <x:v>g1沿用历史旧位置；新字号均使用固定锚点(86,672)。</x:v>
      </x:c>
    </x:row>
    <x:row r="4">
      <x:c r="A4" s="1"/>
      <x:c r="B4" s="1"/>
      <x:c r="C4" s="1"/>
    </x:row>
    <x:row r="5" ht="105" customHeight="1">
      <x:c r="A5" s="1" t="str">
        <x:v>参考字符</x:v>
      </x:c>
      <x:c r="B5" s="5" t="str">
        <x:v>WEATFMVQYHCLIUIBZCDZ
PQLCFFGRQAXXLGTIRTGK
FTWUUWEIJQKUMAOUKARP
HPAHTEXPURNKYQYHOSZH
OWECDAHTVWPPSYPQNNAL</x:v>
      </x:c>
      <x:c r="C5" s="1"/>
    </x:row>
    <x:row r="6">
      <x:c r="A6" s="1"/>
      <x:c r="B6" s="1"/>
      <x:c r="C6" s="1"/>
    </x:row>
    <x:row r="7">
      <x:c r="A7" s="1" t="str">
        <x:v>原文及换行保留，不补全、不纠错；亮度条件以逐轮原记录和已确认说明为准。</x:v>
      </x:c>
      <x:c r="B7" s="1"/>
      <x:c r="C7" s="1"/>
    </x:row>
    <x:row r="8" ht="30" customHeight="1">
      <x:c r="A8" s="22" t="str">
        <x:v>条件ID</x:v>
      </x:c>
      <x:c r="B8" s="22" t="str">
        <x:v>助手完整回复</x:v>
      </x:c>
      <x:c r="C8" s="22" t="str">
        <x:v>对应截图文件名</x:v>
      </x:c>
      <x:c r="E8" s="22" t="str">
        <x:v>历史轮次</x:v>
      </x:c>
      <x:c r="F8" s="22" t="str">
        <x:v>Δg</x:v>
      </x:c>
      <x:c r="G8" s="22" t="str">
        <x:v>字号px</x:v>
      </x:c>
      <x:c r="H8" s="22" t="str">
        <x:v>正确数</x:v>
      </x:c>
      <x:c r="I8" s="22" t="str">
        <x:v>正确率</x:v>
      </x:c>
      <x:c r="J8" s="22" t="str">
        <x:v>替换</x:v>
      </x:c>
      <x:c r="K8" s="22" t="str">
        <x:v>删除</x:v>
      </x:c>
      <x:c r="L8" s="22" t="str">
        <x:v>插入</x:v>
      </x:c>
      <x:c r="M8" s="22" t="str">
        <x:v>CER</x:v>
      </x:c>
      <x:c r="N8" s="22" t="str">
        <x:v>历史记录路径</x:v>
      </x:c>
    </x:row>
    <x:row r="9" ht="28" customHeight="1">
      <x:c r="A9" s="16" t="str">
        <x:v>px16-g01</x:v>
      </x:c>
      <x:c r="B9" s="17" t="str">
        <x:v>[UNREADABLE]</x:v>
      </x:c>
      <x:c r="C9" s="16" t="str">
        <x:v>exp2-screenshot-f16-g01.png</x:v>
      </x:c>
      <x:c r="E9" s="9" t="n">
        <x:v>1</x:v>
      </x:c>
      <x:c r="F9" s="9" t="n">
        <x:v>1</x:v>
      </x:c>
      <x:c r="G9" s="9" t="n">
        <x:v>48</x:v>
      </x:c>
      <x:c r="H9" s="9" t="n">
        <x:v>0</x:v>
      </x:c>
      <x:c r="I9" s="13" t="n">
        <x:v>0</x:v>
      </x:c>
      <x:c r="J9" s="9" t="n">
        <x:v>0</x:v>
      </x:c>
      <x:c r="K9" s="9" t="n">
        <x:v>100</x:v>
      </x:c>
      <x:c r="L9" s="9" t="n">
        <x:v>0</x:v>
      </x:c>
      <x:c r="M9" s="13" t="n">
        <x:v>1</x:v>
      </x:c>
      <x:c r="N9" s="9" t="str">
        <x:v>26-10-26/exp1-perplexity/evidence-01/records/exp1-result-1.json</x:v>
      </x:c>
    </x:row>
    <x:row r="10" ht="28" customHeight="1">
      <x:c r="A10" s="16" t="str">
        <x:v>px16-g02</x:v>
      </x:c>
      <x:c r="B10" s="17" t="str">
        <x:v>[UNREADABLE]</x:v>
      </x:c>
      <x:c r="C10" s="16" t="str">
        <x:v>exp2-screenshot-f16-g02.png</x:v>
      </x:c>
      <x:c r="E10" s="9" t="n">
        <x:v>1</x:v>
      </x:c>
      <x:c r="F10" s="9" t="n">
        <x:v>2</x:v>
      </x:c>
      <x:c r="G10" s="9" t="n">
        <x:v>48</x:v>
      </x:c>
      <x:c r="H10" s="9" t="n">
        <x:v>0</x:v>
      </x:c>
      <x:c r="I10" s="13" t="n">
        <x:v>0</x:v>
      </x:c>
      <x:c r="J10" s="9" t="n">
        <x:v>0</x:v>
      </x:c>
      <x:c r="K10" s="9" t="n">
        <x:v>100</x:v>
      </x:c>
      <x:c r="L10" s="9" t="n">
        <x:v>0</x:v>
      </x:c>
      <x:c r="M10" s="13" t="n">
        <x:v>1</x:v>
      </x:c>
      <x:c r="N10" s="9" t="str">
        <x:v>26-10-26/exp1-perplexity/evidence-01/records/exp1-result-2.json</x:v>
      </x:c>
    </x:row>
    <x:row r="11" ht="28" customHeight="1">
      <x:c r="A11" s="16" t="str">
        <x:v>px16-g03</x:v>
      </x:c>
      <x:c r="B11" s="17" t="str">
        <x:v>[UNREADABLE]</x:v>
      </x:c>
      <x:c r="C11" s="16" t="str">
        <x:v>exp2-screenshot-f16-g03.png</x:v>
      </x:c>
      <x:c r="E11" s="9" t="n">
        <x:v>1</x:v>
      </x:c>
      <x:c r="F11" s="9" t="n">
        <x:v>3</x:v>
      </x:c>
      <x:c r="G11" s="9" t="n">
        <x:v>48</x:v>
      </x:c>
      <x:c r="H11" s="9" t="n">
        <x:v>0</x:v>
      </x:c>
      <x:c r="I11" s="13" t="n">
        <x:v>0</x:v>
      </x:c>
      <x:c r="J11" s="9" t="n">
        <x:v>0</x:v>
      </x:c>
      <x:c r="K11" s="9" t="n">
        <x:v>100</x:v>
      </x:c>
      <x:c r="L11" s="9" t="n">
        <x:v>0</x:v>
      </x:c>
      <x:c r="M11" s="13" t="n">
        <x:v>1</x:v>
      </x:c>
      <x:c r="N11" s="9" t="str">
        <x:v>26-10-26/exp1-perplexity/evidence-01/records/exp1-result-3.json</x:v>
      </x:c>
    </x:row>
    <x:row r="12" ht="28" customHeight="1">
      <x:c r="A12" s="16" t="str">
        <x:v>px16-g04</x:v>
      </x:c>
      <x:c r="B12" s="17" t="str">
        <x:v>[UNREADABLE]</x:v>
      </x:c>
      <x:c r="C12" s="16" t="str">
        <x:v>exp2-screenshot-f16-g04.png</x:v>
      </x:c>
      <x:c r="E12" s="9" t="n">
        <x:v>1</x:v>
      </x:c>
      <x:c r="F12" s="9" t="n">
        <x:v>4</x:v>
      </x:c>
      <x:c r="G12" s="9" t="n">
        <x:v>48</x:v>
      </x:c>
      <x:c r="H12" s="9" t="n">
        <x:v>0</x:v>
      </x:c>
      <x:c r="I12" s="13" t="n">
        <x:v>0</x:v>
      </x:c>
      <x:c r="J12" s="9" t="n">
        <x:v>0</x:v>
      </x:c>
      <x:c r="K12" s="9" t="n">
        <x:v>100</x:v>
      </x:c>
      <x:c r="L12" s="9" t="n">
        <x:v>0</x:v>
      </x:c>
      <x:c r="M12" s="13" t="n">
        <x:v>1</x:v>
      </x:c>
      <x:c r="N12" s="9" t="str">
        <x:v>26-10-26/exp1-perplexity/evidence-01/records/exp1-result-4.json</x:v>
      </x:c>
    </x:row>
    <x:row r="13" ht="28" customHeight="1">
      <x:c r="A13" s="16" t="str">
        <x:v>px16-g05</x:v>
      </x:c>
      <x:c r="B13" s="17" t="str">
        <x:v>[UNREADABLE]</x:v>
      </x:c>
      <x:c r="C13" s="16" t="str">
        <x:v>exp2-screenshot-f16-g05.png</x:v>
      </x:c>
      <x:c r="E13" s="9" t="n">
        <x:v>1</x:v>
      </x:c>
      <x:c r="F13" s="9" t="n">
        <x:v>5</x:v>
      </x:c>
      <x:c r="G13" s="9" t="n">
        <x:v>48</x:v>
      </x:c>
      <x:c r="H13" s="9" t="n">
        <x:v>0</x:v>
      </x:c>
      <x:c r="I13" s="13" t="n">
        <x:v>0</x:v>
      </x:c>
      <x:c r="J13" s="9" t="n">
        <x:v>0</x:v>
      </x:c>
      <x:c r="K13" s="9" t="n">
        <x:v>100</x:v>
      </x:c>
      <x:c r="L13" s="9" t="n">
        <x:v>0</x:v>
      </x:c>
      <x:c r="M13" s="13" t="n">
        <x:v>1</x:v>
      </x:c>
      <x:c r="N13" s="9" t="str">
        <x:v>26-10-26/exp1-perplexity/evidence-01/records/exp1-result-5.json</x:v>
      </x:c>
    </x:row>
    <x:row r="14" ht="28" customHeight="1">
      <x:c r="A14" s="16" t="str">
        <x:v>px16-g06</x:v>
      </x:c>
      <x:c r="B14" s="17" t="str">
        <x:v>[UNREADABLE]</x:v>
      </x:c>
      <x:c r="C14" s="16" t="str">
        <x:v>exp2-screenshot-f16-g06.png</x:v>
      </x:c>
      <x:c r="E14" s="9" t="n">
        <x:v>1</x:v>
      </x:c>
      <x:c r="F14" s="9" t="n">
        <x:v>6</x:v>
      </x:c>
      <x:c r="G14" s="9" t="n">
        <x:v>48</x:v>
      </x:c>
      <x:c r="H14" s="9" t="n">
        <x:v>20</x:v>
      </x:c>
      <x:c r="I14" s="13" t="n">
        <x:v>0.2</x:v>
      </x:c>
      <x:c r="J14" s="9" t="n">
        <x:v>63</x:v>
      </x:c>
      <x:c r="K14" s="9" t="n">
        <x:v>17</x:v>
      </x:c>
      <x:c r="L14" s="9" t="n">
        <x:v>3</x:v>
      </x:c>
      <x:c r="M14" s="13" t="n">
        <x:v>0.83</x:v>
      </x:c>
      <x:c r="N14" s="9" t="str">
        <x:v>26-10-26/exp1-perplexity/evidence-01/records/exp1-result-6.json</x:v>
      </x:c>
    </x:row>
    <x:row r="15" ht="28" customHeight="1">
      <x:c r="A15" s="16" t="str">
        <x:v>px16-g07</x:v>
      </x:c>
      <x:c r="B15" s="17" t="str">
        <x:v>[UNREADABLE]</x:v>
      </x:c>
      <x:c r="C15" s="16" t="str">
        <x:v>exp2-screenshot-f16-g07.png</x:v>
      </x:c>
      <x:c r="E15" s="9" t="n">
        <x:v>1</x:v>
      </x:c>
      <x:c r="F15" s="9" t="n">
        <x:v>7</x:v>
      </x:c>
      <x:c r="G15" s="9" t="n">
        <x:v>48</x:v>
      </x:c>
      <x:c r="H15" s="9" t="n">
        <x:v>0</x:v>
      </x:c>
      <x:c r="I15" s="13" t="n">
        <x:v>0</x:v>
      </x:c>
      <x:c r="J15" s="9" t="n">
        <x:v>0</x:v>
      </x:c>
      <x:c r="K15" s="9" t="n">
        <x:v>100</x:v>
      </x:c>
      <x:c r="L15" s="9" t="n">
        <x:v>0</x:v>
      </x:c>
      <x:c r="M15" s="13" t="n">
        <x:v>1</x:v>
      </x:c>
      <x:c r="N15" s="9" t="str">
        <x:v>26-10-26/exp1-perplexity/evidence-01/records/exp1-result-7.json</x:v>
      </x:c>
    </x:row>
    <x:row r="16" ht="28" customHeight="1">
      <x:c r="A16" s="16" t="str">
        <x:v>px16-g08</x:v>
      </x:c>
      <x:c r="B16" s="17" t="str">
        <x:v>[UNREADABLE]</x:v>
      </x:c>
      <x:c r="C16" s="16" t="str">
        <x:v>exp2-screenshot-f16-g08.png</x:v>
      </x:c>
      <x:c r="E16" s="9" t="n">
        <x:v>1</x:v>
      </x:c>
      <x:c r="F16" s="9" t="n">
        <x:v>8</x:v>
      </x:c>
      <x:c r="G16" s="9" t="n">
        <x:v>48</x:v>
      </x:c>
      <x:c r="H16" s="9" t="n">
        <x:v>73</x:v>
      </x:c>
      <x:c r="I16" s="13" t="n">
        <x:v>0.73</x:v>
      </x:c>
      <x:c r="J16" s="9" t="n">
        <x:v>19</x:v>
      </x:c>
      <x:c r="K16" s="9" t="n">
        <x:v>8</x:v>
      </x:c>
      <x:c r="L16" s="9" t="n">
        <x:v>0</x:v>
      </x:c>
      <x:c r="M16" s="13" t="n">
        <x:v>0.27</x:v>
      </x:c>
      <x:c r="N16" s="9" t="str">
        <x:v>26-10-26/exp1-perplexity/evidence-01/records/exp1-result-8.json</x:v>
      </x:c>
    </x:row>
    <x:row r="17" ht="28" customHeight="1">
      <x:c r="A17" s="16" t="str">
        <x:v>px16-g09</x:v>
      </x:c>
      <x:c r="B17" s="17" t="str">
        <x:v>[UNREADABLE]</x:v>
      </x:c>
      <x:c r="C17" s="16" t="str">
        <x:v>exp2-screenshot-f16-g09.png</x:v>
      </x:c>
      <x:c r="E17" s="9" t="n">
        <x:v>1</x:v>
      </x:c>
      <x:c r="F17" s="9" t="n">
        <x:v>9</x:v>
      </x:c>
      <x:c r="G17" s="9" t="n">
        <x:v>48</x:v>
      </x:c>
      <x:c r="H17" s="9" t="n">
        <x:v>72</x:v>
      </x:c>
      <x:c r="I17" s="13" t="n">
        <x:v>0.72</x:v>
      </x:c>
      <x:c r="J17" s="9" t="n">
        <x:v>20</x:v>
      </x:c>
      <x:c r="K17" s="9" t="n">
        <x:v>8</x:v>
      </x:c>
      <x:c r="L17" s="9" t="n">
        <x:v>1</x:v>
      </x:c>
      <x:c r="M17" s="13" t="n">
        <x:v>0.29</x:v>
      </x:c>
      <x:c r="N17" s="9" t="str">
        <x:v>26-10-26/exp1-perplexity/evidence-01/records/exp1-result-9.json</x:v>
      </x:c>
    </x:row>
    <x:row r="18" ht="28" customHeight="1">
      <x:c r="A18" s="16" t="str">
        <x:v>px16-g10</x:v>
      </x:c>
      <x:c r="B18" s="17" t="str">
        <x:v>[UNREADABLE]</x:v>
      </x:c>
      <x:c r="C18" s="16" t="str">
        <x:v>exp2-screenshot-f16-g10.png</x:v>
      </x:c>
      <x:c r="E18" s="9" t="n">
        <x:v>1</x:v>
      </x:c>
      <x:c r="F18" s="9" t="n">
        <x:v>10</x:v>
      </x:c>
      <x:c r="G18" s="9" t="n">
        <x:v>48</x:v>
      </x:c>
      <x:c r="H18" s="9" t="n">
        <x:v>81</x:v>
      </x:c>
      <x:c r="I18" s="13" t="n">
        <x:v>0.81</x:v>
      </x:c>
      <x:c r="J18" s="9" t="n">
        <x:v>17</x:v>
      </x:c>
      <x:c r="K18" s="9" t="n">
        <x:v>2</x:v>
      </x:c>
      <x:c r="L18" s="9" t="n">
        <x:v>1</x:v>
      </x:c>
      <x:c r="M18" s="13" t="n">
        <x:v>0.2</x:v>
      </x:c>
      <x:c r="N18" s="9" t="str">
        <x:v>26-10-26/exp1-perplexity/evidence-01/records/exp1-result-10.json</x:v>
      </x:c>
    </x:row>
    <x:row r="19" ht="28" customHeight="1">
      <x:c r="A19" s="16" t="str">
        <x:v>px16-g11</x:v>
      </x:c>
      <x:c r="B19" s="17" t="str">
        <x:v>[UNREADABLE]</x:v>
      </x:c>
      <x:c r="C19" s="16" t="str">
        <x:v>exp2-screenshot-f16-g11.png</x:v>
      </x:c>
      <x:c r="E19" s="9" t="n">
        <x:v>1</x:v>
      </x:c>
      <x:c r="F19" s="9" t="n">
        <x:v>11</x:v>
      </x:c>
      <x:c r="G19" s="9" t="n">
        <x:v>48</x:v>
      </x:c>
      <x:c r="H19" s="9" t="n">
        <x:v>91</x:v>
      </x:c>
      <x:c r="I19" s="13" t="n">
        <x:v>0.91</x:v>
      </x:c>
      <x:c r="J19" s="9" t="n">
        <x:v>8</x:v>
      </x:c>
      <x:c r="K19" s="9" t="n">
        <x:v>1</x:v>
      </x:c>
      <x:c r="L19" s="9" t="n">
        <x:v>0</x:v>
      </x:c>
      <x:c r="M19" s="13" t="n">
        <x:v>0.09</x:v>
      </x:c>
      <x:c r="N19" s="9" t="str">
        <x:v>26-10-26/exp1-perplexity/evidence-01/records/exp1-result-11.json</x:v>
      </x:c>
    </x:row>
    <x:row r="20" ht="28" customHeight="1">
      <x:c r="A20" s="16" t="str">
        <x:v>px16-g12</x:v>
      </x:c>
      <x:c r="B20" s="17" t="str">
        <x:v>[UNREADABLE]</x:v>
      </x:c>
      <x:c r="C20" s="16" t="str">
        <x:v>exp2-screenshot-f16-g12.png</x:v>
      </x:c>
      <x:c r="E20" s="9" t="n">
        <x:v>1</x:v>
      </x:c>
      <x:c r="F20" s="9" t="n">
        <x:v>12</x:v>
      </x:c>
      <x:c r="G20" s="9" t="n">
        <x:v>48</x:v>
      </x:c>
      <x:c r="H20" s="9" t="n">
        <x:v>90</x:v>
      </x:c>
      <x:c r="I20" s="13" t="n">
        <x:v>0.9</x:v>
      </x:c>
      <x:c r="J20" s="9" t="n">
        <x:v>9</x:v>
      </x:c>
      <x:c r="K20" s="9" t="n">
        <x:v>1</x:v>
      </x:c>
      <x:c r="L20" s="9" t="n">
        <x:v>1</x:v>
      </x:c>
      <x:c r="M20" s="13" t="n">
        <x:v>0.11</x:v>
      </x:c>
      <x:c r="N20" s="9" t="str">
        <x:v>26-10-26/exp1-perplexity/evidence-01/records/exp1-result-12.json</x:v>
      </x:c>
    </x:row>
    <x:row r="21" ht="28" customHeight="1">
      <x:c r="A21" s="16" t="str">
        <x:v>px16-g13</x:v>
      </x:c>
      <x:c r="B21" s="17" t="str">
        <x:v>[UNREADABLE]</x:v>
      </x:c>
      <x:c r="C21" s="16" t="str">
        <x:v>exp2-screenshot-f16-g13.png</x:v>
      </x:c>
      <x:c r="E21" s="9" t="n">
        <x:v>1</x:v>
      </x:c>
      <x:c r="F21" s="9" t="n">
        <x:v>13</x:v>
      </x:c>
      <x:c r="G21" s="9" t="n">
        <x:v>48</x:v>
      </x:c>
      <x:c r="H21" s="9" t="n">
        <x:v>93</x:v>
      </x:c>
      <x:c r="I21" s="13" t="n">
        <x:v>0.93</x:v>
      </x:c>
      <x:c r="J21" s="9" t="n">
        <x:v>6</x:v>
      </x:c>
      <x:c r="K21" s="9" t="n">
        <x:v>1</x:v>
      </x:c>
      <x:c r="L21" s="9" t="n">
        <x:v>1</x:v>
      </x:c>
      <x:c r="M21" s="13" t="n">
        <x:v>0.08</x:v>
      </x:c>
      <x:c r="N21" s="9" t="str">
        <x:v>26-10-26/exp1-perplexity/evidence-01/records/exp1-result-13.json</x:v>
      </x:c>
    </x:row>
    <x:row r="22" ht="28" customHeight="1">
      <x:c r="A22" s="16" t="str">
        <x:v>px16-g14</x:v>
      </x:c>
      <x:c r="B22" s="17" t="str">
        <x:v>[UNREADABLE]</x:v>
      </x:c>
      <x:c r="C22" s="16" t="str">
        <x:v>exp2-screenshot-f16-g14.png</x:v>
      </x:c>
      <x:c r="E22" s="9" t="n">
        <x:v>1</x:v>
      </x:c>
      <x:c r="F22" s="9" t="n">
        <x:v>14</x:v>
      </x:c>
      <x:c r="G22" s="9" t="n">
        <x:v>48</x:v>
      </x:c>
      <x:c r="H22" s="9" t="n">
        <x:v>94</x:v>
      </x:c>
      <x:c r="I22" s="13" t="n">
        <x:v>0.94</x:v>
      </x:c>
      <x:c r="J22" s="9" t="n">
        <x:v>3</x:v>
      </x:c>
      <x:c r="K22" s="9" t="n">
        <x:v>3</x:v>
      </x:c>
      <x:c r="L22" s="9" t="n">
        <x:v>0</x:v>
      </x:c>
      <x:c r="M22" s="13" t="n">
        <x:v>0.06</x:v>
      </x:c>
      <x:c r="N22" s="9" t="str">
        <x:v>26-10-26/exp1-perplexity/evidence-01/records/exp1-result-14.json</x:v>
      </x:c>
    </x:row>
    <x:row r="23" ht="28" customHeight="1">
      <x:c r="A23" s="16" t="str">
        <x:v>px16-g15</x:v>
      </x:c>
      <x:c r="B23" s="17" t="str">
        <x:v>[UNREADABLE]</x:v>
      </x:c>
      <x:c r="C23" s="16" t="str">
        <x:v>exp2-screenshot-f16-g15.png</x:v>
      </x:c>
      <x:c r="E23" s="9" t="n">
        <x:v>1</x:v>
      </x:c>
      <x:c r="F23" s="9" t="n">
        <x:v>15</x:v>
      </x:c>
      <x:c r="G23" s="9" t="n">
        <x:v>48</x:v>
      </x:c>
      <x:c r="H23" s="9" t="n">
        <x:v>93</x:v>
      </x:c>
      <x:c r="I23" s="13" t="n">
        <x:v>0.93</x:v>
      </x:c>
      <x:c r="J23" s="9" t="n">
        <x:v>6</x:v>
      </x:c>
      <x:c r="K23" s="9" t="n">
        <x:v>1</x:v>
      </x:c>
      <x:c r="L23" s="9" t="n">
        <x:v>2</x:v>
      </x:c>
      <x:c r="M23" s="13" t="n">
        <x:v>0.09</x:v>
      </x:c>
      <x:c r="N23" s="9" t="str">
        <x:v>26-10-26/exp1-perplexity/evidence-01/records/exp1-result-15.json</x:v>
      </x:c>
    </x:row>
    <x:row r="24" ht="28" customHeight="1">
      <x:c r="A24" s="16" t="str">
        <x:v>px16-g16</x:v>
      </x:c>
      <x:c r="B24" s="17" t="str">
        <x:v>[UNREADABLE]</x:v>
      </x:c>
      <x:c r="C24" s="16" t="str">
        <x:v>exp2-screenshot-f16-g16.png</x:v>
      </x:c>
      <x:c r="E24" s="9" t="n">
        <x:v>1</x:v>
      </x:c>
      <x:c r="F24" s="9" t="n">
        <x:v>16</x:v>
      </x:c>
      <x:c r="G24" s="9" t="n">
        <x:v>48</x:v>
      </x:c>
      <x:c r="H24" s="9" t="n">
        <x:v>92</x:v>
      </x:c>
      <x:c r="I24" s="13" t="n">
        <x:v>0.92</x:v>
      </x:c>
      <x:c r="J24" s="9" t="n">
        <x:v>7</x:v>
      </x:c>
      <x:c r="K24" s="9" t="n">
        <x:v>1</x:v>
      </x:c>
      <x:c r="L24" s="9" t="n">
        <x:v>1</x:v>
      </x:c>
      <x:c r="M24" s="13" t="n">
        <x:v>0.09</x:v>
      </x:c>
      <x:c r="N24" s="9" t="str">
        <x:v>26-10-26/exp1-perplexity/evidence-01/records/exp1-result-16.json</x:v>
      </x:c>
    </x:row>
    <x:row r="25" ht="28" customHeight="1">
      <x:c r="A25" s="16" t="str">
        <x:v>px16-g17</x:v>
      </x:c>
      <x:c r="B25" s="17" t="str">
        <x:v>[UNREADABLE]</x:v>
      </x:c>
      <x:c r="C25" s="16" t="str">
        <x:v>exp2-screenshot-f16-g17.png</x:v>
      </x:c>
      <x:c r="E25" s="9" t="n">
        <x:v>1</x:v>
      </x:c>
      <x:c r="F25" s="9" t="n">
        <x:v>17</x:v>
      </x:c>
      <x:c r="G25" s="9" t="n">
        <x:v>48</x:v>
      </x:c>
      <x:c r="H25" s="9" t="n">
        <x:v>95</x:v>
      </x:c>
      <x:c r="I25" s="13" t="n">
        <x:v>0.95</x:v>
      </x:c>
      <x:c r="J25" s="9" t="n">
        <x:v>5</x:v>
      </x:c>
      <x:c r="K25" s="9" t="n">
        <x:v>0</x:v>
      </x:c>
      <x:c r="L25" s="9" t="n">
        <x:v>0</x:v>
      </x:c>
      <x:c r="M25" s="13" t="n">
        <x:v>0.05</x:v>
      </x:c>
      <x:c r="N25" s="9" t="str">
        <x:v>26-10-26/exp1-perplexity/evidence-01/records/exp1-result-17.json</x:v>
      </x:c>
    </x:row>
    <x:row r="26" ht="28" customHeight="1">
      <x:c r="A26" s="16" t="str">
        <x:v>px16-g18</x:v>
      </x:c>
      <x:c r="B26" s="17" t="str">
        <x:v>[UNREADABLE]</x:v>
      </x:c>
      <x:c r="C26" s="16" t="str">
        <x:v>exp2-screenshot-f16-g18.png</x:v>
      </x:c>
      <x:c r="E26" s="9" t="n">
        <x:v>1</x:v>
      </x:c>
      <x:c r="F26" s="9" t="n">
        <x:v>18</x:v>
      </x:c>
      <x:c r="G26" s="9" t="n">
        <x:v>48</x:v>
      </x:c>
      <x:c r="H26" s="9" t="n">
        <x:v>98</x:v>
      </x:c>
      <x:c r="I26" s="13" t="n">
        <x:v>0.98</x:v>
      </x:c>
      <x:c r="J26" s="9" t="n">
        <x:v>2</x:v>
      </x:c>
      <x:c r="K26" s="9" t="n">
        <x:v>0</x:v>
      </x:c>
      <x:c r="L26" s="9" t="n">
        <x:v>0</x:v>
      </x:c>
      <x:c r="M26" s="13" t="n">
        <x:v>0.02</x:v>
      </x:c>
      <x:c r="N26" s="9" t="str">
        <x:v>26-10-26/exp1-perplexity/evidence-01/records/exp1-result-18.json</x:v>
      </x:c>
    </x:row>
    <x:row r="27" ht="28" customHeight="1">
      <x:c r="A27" s="16" t="str">
        <x:v>px16-g19</x:v>
      </x:c>
      <x:c r="B27" s="17" t="str">
        <x:v>[UNREADABLE]</x:v>
      </x:c>
      <x:c r="C27" s="16" t="str">
        <x:v>exp2-screenshot-f16-g19.png</x:v>
      </x:c>
      <x:c r="E27" s="9" t="n">
        <x:v>1</x:v>
      </x:c>
      <x:c r="F27" s="9" t="n">
        <x:v>19</x:v>
      </x:c>
      <x:c r="G27" s="9" t="n">
        <x:v>48</x:v>
      </x:c>
      <x:c r="H27" s="9" t="n">
        <x:v>94</x:v>
      </x:c>
      <x:c r="I27" s="13" t="n">
        <x:v>0.94</x:v>
      </x:c>
      <x:c r="J27" s="9" t="n">
        <x:v>5</x:v>
      </x:c>
      <x:c r="K27" s="9" t="n">
        <x:v>1</x:v>
      </x:c>
      <x:c r="L27" s="9" t="n">
        <x:v>0</x:v>
      </x:c>
      <x:c r="M27" s="13" t="n">
        <x:v>0.06</x:v>
      </x:c>
      <x:c r="N27" s="9" t="str">
        <x:v>26-10-26/exp1-perplexity/evidence-01/records/exp1-result-19.json</x:v>
      </x:c>
    </x:row>
    <x:row r="28" ht="28" customHeight="1">
      <x:c r="A28" s="16" t="str">
        <x:v>px16-g20</x:v>
      </x:c>
      <x:c r="B28" s="17" t="str">
        <x:v>[UNREADABLE]</x:v>
      </x:c>
      <x:c r="C28" s="16" t="str">
        <x:v>exp2-screenshot-f16-g20.png</x:v>
      </x:c>
      <x:c r="E28" s="9" t="n">
        <x:v>1</x:v>
      </x:c>
      <x:c r="F28" s="9" t="n">
        <x:v>20</x:v>
      </x:c>
      <x:c r="G28" s="9" t="n">
        <x:v>48</x:v>
      </x:c>
      <x:c r="H28" s="9" t="n">
        <x:v>98</x:v>
      </x:c>
      <x:c r="I28" s="13" t="n">
        <x:v>0.98</x:v>
      </x:c>
      <x:c r="J28" s="9" t="n">
        <x:v>1</x:v>
      </x:c>
      <x:c r="K28" s="9" t="n">
        <x:v>1</x:v>
      </x:c>
      <x:c r="L28" s="9" t="n">
        <x:v>0</x:v>
      </x:c>
      <x:c r="M28" s="13" t="n">
        <x:v>0.02</x:v>
      </x:c>
      <x:c r="N28" s="9" t="str">
        <x:v>26-10-26/exp1-perplexity/evidence-01/records/exp1-result-20.json</x:v>
      </x:c>
    </x:row>
    <x:row r="29" ht="28" customHeight="1">
      <x:c r="A29" s="16" t="str">
        <x:v>px16-g21</x:v>
      </x:c>
      <x:c r="B29" s="17" t="str">
        <x:v>[UNREADABLE]</x:v>
      </x:c>
      <x:c r="C29" s="16" t="str">
        <x:v>exp2-screenshot-f16-g21.png</x:v>
      </x:c>
      <x:c r="E29" s="9" t="n">
        <x:v>1</x:v>
      </x:c>
      <x:c r="F29" s="9" t="n">
        <x:v>21</x:v>
      </x:c>
      <x:c r="G29" s="9" t="n">
        <x:v>48</x:v>
      </x:c>
      <x:c r="H29" s="9" t="n">
        <x:v>97</x:v>
      </x:c>
      <x:c r="I29" s="13" t="n">
        <x:v>0.97</x:v>
      </x:c>
      <x:c r="J29" s="9" t="n">
        <x:v>3</x:v>
      </x:c>
      <x:c r="K29" s="9" t="n">
        <x:v>0</x:v>
      </x:c>
      <x:c r="L29" s="9" t="n">
        <x:v>0</x:v>
      </x:c>
      <x:c r="M29" s="13" t="n">
        <x:v>0.03</x:v>
      </x:c>
      <x:c r="N29" s="9" t="str">
        <x:v>26-10-26/exp1-perplexity/evidence-01/records/exp1-result-21.json</x:v>
      </x:c>
    </x:row>
    <x:row r="30" ht="28" customHeight="1">
      <x:c r="A30" s="16" t="str">
        <x:v>px16-g22</x:v>
      </x:c>
      <x:c r="B30" s="17" t="str">
        <x:v>[UNREADABLE]</x:v>
      </x:c>
      <x:c r="C30" s="16" t="str">
        <x:v>exp2-screenshot-f16-g22.png</x:v>
      </x:c>
      <x:c r="E30" s="9" t="n">
        <x:v>1</x:v>
      </x:c>
      <x:c r="F30" s="9" t="n">
        <x:v>22</x:v>
      </x:c>
      <x:c r="G30" s="9" t="n">
        <x:v>48</x:v>
      </x:c>
      <x:c r="H30" s="9" t="n">
        <x:v>97</x:v>
      </x:c>
      <x:c r="I30" s="13" t="n">
        <x:v>0.97</x:v>
      </x:c>
      <x:c r="J30" s="9" t="n">
        <x:v>3</x:v>
      </x:c>
      <x:c r="K30" s="9" t="n">
        <x:v>0</x:v>
      </x:c>
      <x:c r="L30" s="9" t="n">
        <x:v>0</x:v>
      </x:c>
      <x:c r="M30" s="13" t="n">
        <x:v>0.03</x:v>
      </x:c>
      <x:c r="N30" s="9" t="str">
        <x:v>26-10-26/exp1-perplexity/evidence-01/records/exp1-result-22.json</x:v>
      </x:c>
    </x:row>
    <x:row r="31" ht="28" customHeight="1">
      <x:c r="A31" s="16" t="str">
        <x:v>px16-g23</x:v>
      </x:c>
      <x:c r="B31" s="17" t="str">
        <x:v>[UNREADABLE]</x:v>
      </x:c>
      <x:c r="C31" s="16" t="str">
        <x:v>exp2-screenshot-f16-g23.png</x:v>
      </x:c>
      <x:c r="E31" s="9" t="n">
        <x:v>1</x:v>
      </x:c>
      <x:c r="F31" s="9" t="n">
        <x:v>23</x:v>
      </x:c>
      <x:c r="G31" s="9" t="n">
        <x:v>48</x:v>
      </x:c>
      <x:c r="H31" s="9" t="n">
        <x:v>97</x:v>
      </x:c>
      <x:c r="I31" s="13" t="n">
        <x:v>0.97</x:v>
      </x:c>
      <x:c r="J31" s="9" t="n">
        <x:v>3</x:v>
      </x:c>
      <x:c r="K31" s="9" t="n">
        <x:v>0</x:v>
      </x:c>
      <x:c r="L31" s="9" t="n">
        <x:v>0</x:v>
      </x:c>
      <x:c r="M31" s="13" t="n">
        <x:v>0.03</x:v>
      </x:c>
      <x:c r="N31" s="9" t="str">
        <x:v>26-10-26/exp1-perplexity/evidence-01/records/exp1-result-23.json</x:v>
      </x:c>
    </x:row>
    <x:row r="32" ht="28" customHeight="1">
      <x:c r="A32" s="16" t="str">
        <x:v>px16-g24</x:v>
      </x:c>
      <x:c r="B32" s="17" t="str">
        <x:v>[UNREADABLE]</x:v>
      </x:c>
      <x:c r="C32" s="16" t="str">
        <x:v>exp2-screenshot-f16-g24.png</x:v>
      </x:c>
      <x:c r="E32" s="9" t="n">
        <x:v>1</x:v>
      </x:c>
      <x:c r="F32" s="9" t="n">
        <x:v>24</x:v>
      </x:c>
      <x:c r="G32" s="9" t="n">
        <x:v>48</x:v>
      </x:c>
      <x:c r="H32" s="9" t="n">
        <x:v>98</x:v>
      </x:c>
      <x:c r="I32" s="13" t="n">
        <x:v>0.98</x:v>
      </x:c>
      <x:c r="J32" s="9" t="n">
        <x:v>2</x:v>
      </x:c>
      <x:c r="K32" s="9" t="n">
        <x:v>0</x:v>
      </x:c>
      <x:c r="L32" s="9" t="n">
        <x:v>0</x:v>
      </x:c>
      <x:c r="M32" s="13" t="n">
        <x:v>0.02</x:v>
      </x:c>
      <x:c r="N32" s="9" t="str">
        <x:v>26-10-26/exp1-perplexity/evidence-01/records/exp1-result-24.json</x:v>
      </x:c>
    </x:row>
    <x:row r="33" ht="28" customHeight="1">
      <x:c r="A33" s="16" t="str">
        <x:v>px16-g25</x:v>
      </x:c>
      <x:c r="B33" s="17" t="str">
        <x:v>[UNREADABLE]</x:v>
      </x:c>
      <x:c r="C33" s="16" t="str">
        <x:v>exp2-screenshot-f16-g25.png</x:v>
      </x:c>
      <x:c r="E33" s="9" t="n">
        <x:v>1</x:v>
      </x:c>
      <x:c r="F33" s="9" t="n">
        <x:v>25</x:v>
      </x:c>
      <x:c r="G33" s="9" t="n">
        <x:v>48</x:v>
      </x:c>
      <x:c r="H33" s="9" t="n">
        <x:v>96</x:v>
      </x:c>
      <x:c r="I33" s="13" t="n">
        <x:v>0.96</x:v>
      </x:c>
      <x:c r="J33" s="9" t="n">
        <x:v>3</x:v>
      </x:c>
      <x:c r="K33" s="9" t="n">
        <x:v>1</x:v>
      </x:c>
      <x:c r="L33" s="9" t="n">
        <x:v>0</x:v>
      </x:c>
      <x:c r="M33" s="13" t="n">
        <x:v>0.04</x:v>
      </x:c>
      <x:c r="N33" s="9" t="str">
        <x:v>26-10-26/exp1-perplexity/evidence-01/records/exp1-result-25.json</x:v>
      </x:c>
    </x:row>
    <x:row r="34" ht="28" customHeight="1">
      <x:c r="A34" s="16" t="str">
        <x:v>px16-g26</x:v>
      </x:c>
      <x:c r="B34" s="17" t="str">
        <x:v>[UNREADABLE]</x:v>
      </x:c>
      <x:c r="C34" s="16" t="str">
        <x:v>exp2-screenshot-f16-g26.png</x:v>
      </x:c>
      <x:c r="E34" s="9" t="n">
        <x:v>1</x:v>
      </x:c>
      <x:c r="F34" s="9" t="n">
        <x:v>26</x:v>
      </x:c>
      <x:c r="G34" s="9" t="n">
        <x:v>48</x:v>
      </x:c>
      <x:c r="H34" s="9" t="n">
        <x:v>98</x:v>
      </x:c>
      <x:c r="I34" s="13" t="n">
        <x:v>0.98</x:v>
      </x:c>
      <x:c r="J34" s="9" t="n">
        <x:v>2</x:v>
      </x:c>
      <x:c r="K34" s="9" t="n">
        <x:v>0</x:v>
      </x:c>
      <x:c r="L34" s="9" t="n">
        <x:v>0</x:v>
      </x:c>
      <x:c r="M34" s="13" t="n">
        <x:v>0.02</x:v>
      </x:c>
      <x:c r="N34" s="9" t="str">
        <x:v>26-10-26/exp1-perplexity/evidence-01/records/exp1-result-26.json</x:v>
      </x:c>
    </x:row>
    <x:row r="35" ht="28" customHeight="1">
      <x:c r="A35" s="16" t="str">
        <x:v>px16-g27</x:v>
      </x:c>
      <x:c r="B35" s="17" t="str">
        <x:v>[UNREADABLE]</x:v>
      </x:c>
      <x:c r="C35" s="16" t="str">
        <x:v>exp2-screenshot-f16-g27.png</x:v>
      </x:c>
      <x:c r="E35" s="9" t="n">
        <x:v>1</x:v>
      </x:c>
      <x:c r="F35" s="9" t="n">
        <x:v>27</x:v>
      </x:c>
      <x:c r="G35" s="9" t="n">
        <x:v>48</x:v>
      </x:c>
      <x:c r="H35" s="9" t="n">
        <x:v>96</x:v>
      </x:c>
      <x:c r="I35" s="13" t="n">
        <x:v>0.96</x:v>
      </x:c>
      <x:c r="J35" s="9" t="n">
        <x:v>4</x:v>
      </x:c>
      <x:c r="K35" s="9" t="n">
        <x:v>0</x:v>
      </x:c>
      <x:c r="L35" s="9" t="n">
        <x:v>0</x:v>
      </x:c>
      <x:c r="M35" s="13" t="n">
        <x:v>0.04</x:v>
      </x:c>
      <x:c r="N35" s="9" t="str">
        <x:v>26-10-26/exp1-perplexity/evidence-01/records/exp1-result-27.json</x:v>
      </x:c>
    </x:row>
    <x:row r="36" ht="28" customHeight="1">
      <x:c r="A36" s="16" t="str">
        <x:v>px16-g28</x:v>
      </x:c>
      <x:c r="B36" s="17" t="str">
        <x:v>[UNREADABLE]</x:v>
      </x:c>
      <x:c r="C36" s="16" t="str">
        <x:v>exp2-screenshot-f16-g28.png</x:v>
      </x:c>
      <x:c r="E36" s="9" t="n">
        <x:v>1</x:v>
      </x:c>
      <x:c r="F36" s="9" t="n">
        <x:v>28</x:v>
      </x:c>
      <x:c r="G36" s="9" t="n">
        <x:v>48</x:v>
      </x:c>
      <x:c r="H36" s="9" t="n">
        <x:v>98</x:v>
      </x:c>
      <x:c r="I36" s="13" t="n">
        <x:v>0.98</x:v>
      </x:c>
      <x:c r="J36" s="9" t="n">
        <x:v>2</x:v>
      </x:c>
      <x:c r="K36" s="9" t="n">
        <x:v>0</x:v>
      </x:c>
      <x:c r="L36" s="9" t="n">
        <x:v>1</x:v>
      </x:c>
      <x:c r="M36" s="13" t="n">
        <x:v>0.03</x:v>
      </x:c>
      <x:c r="N36" s="9" t="str">
        <x:v>26-10-26/exp1-perplexity/evidence-01/records/exp1-result-28.json</x:v>
      </x:c>
    </x:row>
    <x:row r="37" ht="28" customHeight="1">
      <x:c r="A37" s="16" t="str">
        <x:v>px16-g29</x:v>
      </x:c>
      <x:c r="B37" s="17" t="str">
        <x:v>[UNREADABLE]</x:v>
      </x:c>
      <x:c r="C37" s="16" t="str">
        <x:v>exp2-screenshot-f16-g29.png</x:v>
      </x:c>
      <x:c r="E37" s="9" t="n">
        <x:v>1</x:v>
      </x:c>
      <x:c r="F37" s="9" t="n">
        <x:v>29</x:v>
      </x:c>
      <x:c r="G37" s="9" t="n">
        <x:v>48</x:v>
      </x:c>
      <x:c r="H37" s="9" t="n">
        <x:v>97</x:v>
      </x:c>
      <x:c r="I37" s="13" t="n">
        <x:v>0.97</x:v>
      </x:c>
      <x:c r="J37" s="9" t="n">
        <x:v>3</x:v>
      </x:c>
      <x:c r="K37" s="9" t="n">
        <x:v>0</x:v>
      </x:c>
      <x:c r="L37" s="9" t="n">
        <x:v>1</x:v>
      </x:c>
      <x:c r="M37" s="13" t="n">
        <x:v>0.04</x:v>
      </x:c>
      <x:c r="N37" s="9" t="str">
        <x:v>26-10-26/exp1-perplexity/evidence-01/records/exp1-result-29.json</x:v>
      </x:c>
    </x:row>
    <x:row r="38" ht="28" customHeight="1">
      <x:c r="A38" s="16" t="str">
        <x:v>px16-g30</x:v>
      </x:c>
      <x:c r="B38" s="17" t="str">
        <x:v>[UNREADABLE]</x:v>
      </x:c>
      <x:c r="C38" s="16" t="str">
        <x:v>exp2-screenshot-f16-g30.png</x:v>
      </x:c>
      <x:c r="E38" s="9" t="n">
        <x:v>1</x:v>
      </x:c>
      <x:c r="F38" s="9" t="n">
        <x:v>30</x:v>
      </x:c>
      <x:c r="G38" s="9" t="n">
        <x:v>48</x:v>
      </x:c>
      <x:c r="H38" s="9" t="n">
        <x:v>97</x:v>
      </x:c>
      <x:c r="I38" s="13" t="n">
        <x:v>0.97</x:v>
      </x:c>
      <x:c r="J38" s="9" t="n">
        <x:v>3</x:v>
      </x:c>
      <x:c r="K38" s="9" t="n">
        <x:v>0</x:v>
      </x:c>
      <x:c r="L38" s="9" t="n">
        <x:v>0</x:v>
      </x:c>
      <x:c r="M38" s="13" t="n">
        <x:v>0.03</x:v>
      </x:c>
      <x:c r="N38" s="9" t="str">
        <x:v>26-10-26/exp1-perplexity/evidence-01/records/exp1-result-30.json</x:v>
      </x:c>
    </x:row>
    <x:row r="39" ht="28" customHeight="1">
      <x:c r="A39" s="16" t="str">
        <x:v>px16-g31</x:v>
      </x:c>
      <x:c r="B39" s="17" t="str">
        <x:v>[UNREADABLE]</x:v>
      </x:c>
      <x:c r="C39" s="16" t="str">
        <x:v>exp2-screenshot-f16-g31.png</x:v>
      </x:c>
      <x:c r="E39" s="9" t="n">
        <x:v>1</x:v>
      </x:c>
      <x:c r="F39" s="9" t="n">
        <x:v>31</x:v>
      </x:c>
      <x:c r="G39" s="9" t="n">
        <x:v>48</x:v>
      </x:c>
      <x:c r="H39" s="9" t="n">
        <x:v>99</x:v>
      </x:c>
      <x:c r="I39" s="13" t="n">
        <x:v>0.99</x:v>
      </x:c>
      <x:c r="J39" s="9" t="n">
        <x:v>1</x:v>
      </x:c>
      <x:c r="K39" s="9" t="n">
        <x:v>0</x:v>
      </x:c>
      <x:c r="L39" s="9" t="n">
        <x:v>0</x:v>
      </x:c>
      <x:c r="M39" s="13" t="n">
        <x:v>0.01</x:v>
      </x:c>
      <x:c r="N39" s="9" t="str">
        <x:v>26-10-26/exp1-perplexity/evidence-01/records/exp1-result-31.json</x:v>
      </x:c>
    </x:row>
    <x:row r="40" ht="28" customHeight="1">
      <x:c r="A40" s="16" t="str">
        <x:v>px16-g32</x:v>
      </x:c>
      <x:c r="B40" s="17" t="str">
        <x:v>[UNREADABLE]</x:v>
      </x:c>
      <x:c r="C40" s="16" t="str">
        <x:v>exp2-screenshot-f16-g32.png</x:v>
      </x:c>
      <x:c r="E40" s="9" t="n">
        <x:v>1</x:v>
      </x:c>
      <x:c r="F40" s="9" t="n">
        <x:v>32</x:v>
      </x:c>
      <x:c r="G40" s="9" t="n">
        <x:v>48</x:v>
      </x:c>
      <x:c r="H40" s="9" t="n">
        <x:v>97</x:v>
      </x:c>
      <x:c r="I40" s="13" t="n">
        <x:v>0.97</x:v>
      </x:c>
      <x:c r="J40" s="9" t="n">
        <x:v>2</x:v>
      </x:c>
      <x:c r="K40" s="9" t="n">
        <x:v>1</x:v>
      </x:c>
      <x:c r="L40" s="9" t="n">
        <x:v>0</x:v>
      </x:c>
      <x:c r="M40" s="13" t="n">
        <x:v>0.03</x:v>
      </x:c>
      <x:c r="N40" s="9" t="str">
        <x:v>26-10-26/exp1-perplexity/evidence-01/records/exp1-result-32.json</x:v>
      </x:c>
    </x:row>
    <x:row r="41" ht="28" customHeight="1">
      <x:c r="A41" s="16" t="str">
        <x:v>px24-g01</x:v>
      </x:c>
      <x:c r="B41" s="17" t="str">
        <x:v>[UNREADABLE]</x:v>
      </x:c>
      <x:c r="C41" s="16" t="str">
        <x:v>exp2-screenshot-f24-g01.png</x:v>
      </x:c>
      <x:c r="E41" s="9" t="n">
        <x:v>2</x:v>
      </x:c>
      <x:c r="F41" s="9" t="n">
        <x:v>1</x:v>
      </x:c>
      <x:c r="G41" s="9" t="n">
        <x:v>48</x:v>
      </x:c>
      <x:c r="H41" s="9" t="n">
        <x:v>0</x:v>
      </x:c>
      <x:c r="I41" s="13" t="n">
        <x:v>0</x:v>
      </x:c>
      <x:c r="J41" s="9" t="n">
        <x:v>0</x:v>
      </x:c>
      <x:c r="K41" s="9" t="n">
        <x:v>100</x:v>
      </x:c>
      <x:c r="L41" s="9" t="n">
        <x:v>0</x:v>
      </x:c>
      <x:c r="M41" s="13" t="n">
        <x:v>1</x:v>
      </x:c>
      <x:c r="N41" s="9" t="str">
        <x:v>26-10-26/exp1-perplexity/evidence-02/records/exp1-result-1.json</x:v>
      </x:c>
    </x:row>
    <x:row r="42" ht="28" customHeight="1">
      <x:c r="A42" s="16" t="str">
        <x:v>px24-g02</x:v>
      </x:c>
      <x:c r="B42" s="17" t="str">
        <x:v>[UNREADABLE]</x:v>
      </x:c>
      <x:c r="C42" s="16" t="str">
        <x:v>exp2-screenshot-f24-g02.png</x:v>
      </x:c>
      <x:c r="E42" s="9" t="n">
        <x:v>2</x:v>
      </x:c>
      <x:c r="F42" s="9" t="n">
        <x:v>2</x:v>
      </x:c>
      <x:c r="G42" s="9" t="n">
        <x:v>48</x:v>
      </x:c>
      <x:c r="H42" s="9" t="n">
        <x:v>0</x:v>
      </x:c>
      <x:c r="I42" s="13" t="n">
        <x:v>0</x:v>
      </x:c>
      <x:c r="J42" s="9" t="n">
        <x:v>0</x:v>
      </x:c>
      <x:c r="K42" s="9" t="n">
        <x:v>100</x:v>
      </x:c>
      <x:c r="L42" s="9" t="n">
        <x:v>0</x:v>
      </x:c>
      <x:c r="M42" s="13" t="n">
        <x:v>1</x:v>
      </x:c>
      <x:c r="N42" s="9" t="str">
        <x:v>26-10-26/exp1-perplexity/evidence-02/records/exp1-result-2.json</x:v>
      </x:c>
    </x:row>
    <x:row r="43" ht="28" customHeight="1">
      <x:c r="A43" s="16" t="str">
        <x:v>px24-g03</x:v>
      </x:c>
      <x:c r="B43" s="17" t="str">
        <x:v>[UNREADABLE]</x:v>
      </x:c>
      <x:c r="C43" s="16" t="str">
        <x:v>exp2-screenshot-f24-g03.png</x:v>
      </x:c>
      <x:c r="E43" s="9" t="n">
        <x:v>2</x:v>
      </x:c>
      <x:c r="F43" s="9" t="n">
        <x:v>3</x:v>
      </x:c>
      <x:c r="G43" s="9" t="n">
        <x:v>48</x:v>
      </x:c>
      <x:c r="H43" s="9" t="n">
        <x:v>0</x:v>
      </x:c>
      <x:c r="I43" s="13" t="n">
        <x:v>0</x:v>
      </x:c>
      <x:c r="J43" s="9" t="n">
        <x:v>0</x:v>
      </x:c>
      <x:c r="K43" s="9" t="n">
        <x:v>100</x:v>
      </x:c>
      <x:c r="L43" s="9" t="n">
        <x:v>0</x:v>
      </x:c>
      <x:c r="M43" s="13" t="n">
        <x:v>1</x:v>
      </x:c>
      <x:c r="N43" s="9" t="str">
        <x:v>26-10-26/exp1-perplexity/evidence-02/records/exp1-result-3.json</x:v>
      </x:c>
    </x:row>
    <x:row r="44" ht="28" customHeight="1">
      <x:c r="A44" s="16" t="str">
        <x:v>px24-g04</x:v>
      </x:c>
      <x:c r="B44" s="17" t="str">
        <x:v>[UNREADABLE]</x:v>
      </x:c>
      <x:c r="C44" s="16" t="str">
        <x:v>exp2-screenshot-f24-g04.png</x:v>
      </x:c>
      <x:c r="E44" s="9" t="n">
        <x:v>2</x:v>
      </x:c>
      <x:c r="F44" s="9" t="n">
        <x:v>4</x:v>
      </x:c>
      <x:c r="G44" s="9" t="n">
        <x:v>48</x:v>
      </x:c>
      <x:c r="H44" s="9" t="n">
        <x:v>0</x:v>
      </x:c>
      <x:c r="I44" s="13" t="n">
        <x:v>0</x:v>
      </x:c>
      <x:c r="J44" s="9" t="n">
        <x:v>0</x:v>
      </x:c>
      <x:c r="K44" s="9" t="n">
        <x:v>100</x:v>
      </x:c>
      <x:c r="L44" s="9" t="n">
        <x:v>0</x:v>
      </x:c>
      <x:c r="M44" s="13" t="n">
        <x:v>1</x:v>
      </x:c>
      <x:c r="N44" s="9" t="str">
        <x:v>26-10-26/exp1-perplexity/evidence-02/records/exp1-result-4.json</x:v>
      </x:c>
    </x:row>
    <x:row r="45" ht="28" customHeight="1">
      <x:c r="A45" s="16" t="str">
        <x:v>px24-g05</x:v>
      </x:c>
      <x:c r="B45" s="17" t="str">
        <x:v>[UNREADABLE]</x:v>
      </x:c>
      <x:c r="C45" s="16" t="str">
        <x:v>exp2-screenshot-f24-g05.png</x:v>
      </x:c>
      <x:c r="E45" s="9" t="n">
        <x:v>2</x:v>
      </x:c>
      <x:c r="F45" s="9" t="n">
        <x:v>5</x:v>
      </x:c>
      <x:c r="G45" s="9" t="n">
        <x:v>48</x:v>
      </x:c>
      <x:c r="H45" s="9" t="n">
        <x:v>0</x:v>
      </x:c>
      <x:c r="I45" s="13" t="n">
        <x:v>0</x:v>
      </x:c>
      <x:c r="J45" s="9" t="n">
        <x:v>0</x:v>
      </x:c>
      <x:c r="K45" s="9" t="n">
        <x:v>100</x:v>
      </x:c>
      <x:c r="L45" s="9" t="n">
        <x:v>0</x:v>
      </x:c>
      <x:c r="M45" s="13" t="n">
        <x:v>1</x:v>
      </x:c>
      <x:c r="N45" s="9" t="str">
        <x:v>26-10-26/exp1-perplexity/evidence-02/records/exp1-result-5.json</x:v>
      </x:c>
    </x:row>
    <x:row r="46" ht="28" customHeight="1">
      <x:c r="A46" s="16" t="str">
        <x:v>px24-g06</x:v>
      </x:c>
      <x:c r="B46" s="17" t="str">
        <x:v>[UNREADABLE]</x:v>
      </x:c>
      <x:c r="C46" s="16" t="str">
        <x:v>exp2-screenshot-f24-g06.png</x:v>
      </x:c>
      <x:c r="E46" s="9" t="n">
        <x:v>2</x:v>
      </x:c>
      <x:c r="F46" s="9" t="n">
        <x:v>6</x:v>
      </x:c>
      <x:c r="G46" s="9" t="n">
        <x:v>48</x:v>
      </x:c>
      <x:c r="H46" s="9" t="n">
        <x:v>0</x:v>
      </x:c>
      <x:c r="I46" s="13" t="n">
        <x:v>0</x:v>
      </x:c>
      <x:c r="J46" s="9" t="n">
        <x:v>0</x:v>
      </x:c>
      <x:c r="K46" s="9" t="n">
        <x:v>100</x:v>
      </x:c>
      <x:c r="L46" s="9" t="n">
        <x:v>0</x:v>
      </x:c>
      <x:c r="M46" s="13" t="n">
        <x:v>1</x:v>
      </x:c>
      <x:c r="N46" s="9" t="str">
        <x:v>26-10-26/exp1-perplexity/evidence-02/records/exp1-result-6.json</x:v>
      </x:c>
    </x:row>
    <x:row r="47" ht="28" customHeight="1">
      <x:c r="A47" s="16" t="str">
        <x:v>px24-g07</x:v>
      </x:c>
      <x:c r="B47" s="17" t="str">
        <x:v>[UNREADABLE]</x:v>
      </x:c>
      <x:c r="C47" s="16" t="str">
        <x:v>exp2-screenshot-f24-g07.png</x:v>
      </x:c>
      <x:c r="E47" s="9" t="n">
        <x:v>2</x:v>
      </x:c>
      <x:c r="F47" s="9" t="n">
        <x:v>7</x:v>
      </x:c>
      <x:c r="G47" s="9" t="n">
        <x:v>48</x:v>
      </x:c>
      <x:c r="H47" s="9" t="n">
        <x:v>0</x:v>
      </x:c>
      <x:c r="I47" s="13" t="n">
        <x:v>0</x:v>
      </x:c>
      <x:c r="J47" s="9" t="n">
        <x:v>0</x:v>
      </x:c>
      <x:c r="K47" s="9" t="n">
        <x:v>100</x:v>
      </x:c>
      <x:c r="L47" s="9" t="n">
        <x:v>0</x:v>
      </x:c>
      <x:c r="M47" s="13" t="n">
        <x:v>1</x:v>
      </x:c>
      <x:c r="N47" s="9" t="str">
        <x:v>26-10-26/exp1-perplexity/evidence-02/records/exp1-result-7.json</x:v>
      </x:c>
    </x:row>
    <x:row r="48" ht="28" customHeight="1">
      <x:c r="A48" s="16" t="str">
        <x:v>px24-g08</x:v>
      </x:c>
      <x:c r="B48" s="17" t="str">
        <x:v>[UNREADABLE]</x:v>
      </x:c>
      <x:c r="C48" s="16" t="str">
        <x:v>exp2-screenshot-f24-g08.png</x:v>
      </x:c>
      <x:c r="E48" s="9" t="n">
        <x:v>2</x:v>
      </x:c>
      <x:c r="F48" s="9" t="n">
        <x:v>8</x:v>
      </x:c>
      <x:c r="G48" s="9" t="n">
        <x:v>48</x:v>
      </x:c>
      <x:c r="H48" s="9" t="n">
        <x:v>72</x:v>
      </x:c>
      <x:c r="I48" s="13" t="n">
        <x:v>0.72</x:v>
      </x:c>
      <x:c r="J48" s="9" t="n">
        <x:v>22</x:v>
      </x:c>
      <x:c r="K48" s="9" t="n">
        <x:v>6</x:v>
      </x:c>
      <x:c r="L48" s="9" t="n">
        <x:v>1</x:v>
      </x:c>
      <x:c r="M48" s="13" t="n">
        <x:v>0.29</x:v>
      </x:c>
      <x:c r="N48" s="9" t="str">
        <x:v>26-10-26/exp1-perplexity/evidence-02/records/exp1-result-8.json</x:v>
      </x:c>
    </x:row>
    <x:row r="49" ht="28" customHeight="1">
      <x:c r="A49" s="16" t="str">
        <x:v>px24-g09</x:v>
      </x:c>
      <x:c r="B49" s="17" t="str">
        <x:v>[UNREADABLE]</x:v>
      </x:c>
      <x:c r="C49" s="16" t="str">
        <x:v>exp2-screenshot-f24-g09.png</x:v>
      </x:c>
      <x:c r="E49" s="9" t="n">
        <x:v>2</x:v>
      </x:c>
      <x:c r="F49" s="9" t="n">
        <x:v>9</x:v>
      </x:c>
      <x:c r="G49" s="9" t="n">
        <x:v>48</x:v>
      </x:c>
      <x:c r="H49" s="9" t="n">
        <x:v>78</x:v>
      </x:c>
      <x:c r="I49" s="13" t="n">
        <x:v>0.78</x:v>
      </x:c>
      <x:c r="J49" s="9" t="n">
        <x:v>15</x:v>
      </x:c>
      <x:c r="K49" s="9" t="n">
        <x:v>7</x:v>
      </x:c>
      <x:c r="L49" s="9" t="n">
        <x:v>0</x:v>
      </x:c>
      <x:c r="M49" s="13" t="n">
        <x:v>0.22</x:v>
      </x:c>
      <x:c r="N49" s="9" t="str">
        <x:v>26-10-26/exp1-perplexity/evidence-02/records/exp1-result-9.json</x:v>
      </x:c>
    </x:row>
    <x:row r="50" ht="28" customHeight="1">
      <x:c r="A50" s="16" t="str">
        <x:v>px24-g10</x:v>
      </x:c>
      <x:c r="B50" s="17" t="str">
        <x:v>[UNREADABLE]</x:v>
      </x:c>
      <x:c r="C50" s="16" t="str">
        <x:v>exp2-screenshot-f24-g10.png</x:v>
      </x:c>
      <x:c r="E50" s="9" t="n">
        <x:v>2</x:v>
      </x:c>
      <x:c r="F50" s="9" t="n">
        <x:v>10</x:v>
      </x:c>
      <x:c r="G50" s="9" t="n">
        <x:v>48</x:v>
      </x:c>
      <x:c r="H50" s="9" t="n">
        <x:v>87</x:v>
      </x:c>
      <x:c r="I50" s="13" t="n">
        <x:v>0.87</x:v>
      </x:c>
      <x:c r="J50" s="9" t="n">
        <x:v>12</x:v>
      </x:c>
      <x:c r="K50" s="9" t="n">
        <x:v>1</x:v>
      </x:c>
      <x:c r="L50" s="9" t="n">
        <x:v>1</x:v>
      </x:c>
      <x:c r="M50" s="13" t="n">
        <x:v>0.14</x:v>
      </x:c>
      <x:c r="N50" s="9" t="str">
        <x:v>26-10-26/exp1-perplexity/evidence-02/records/exp1-result-10.json</x:v>
      </x:c>
    </x:row>
    <x:row r="51" ht="28" customHeight="1">
      <x:c r="A51" s="16" t="str">
        <x:v>px24-g11</x:v>
      </x:c>
      <x:c r="B51" s="17" t="str">
        <x:v>[UNREADABLE]</x:v>
      </x:c>
      <x:c r="C51" s="16" t="str">
        <x:v>exp2-screenshot-f24-g11.png</x:v>
      </x:c>
      <x:c r="E51" s="9" t="n">
        <x:v>2</x:v>
      </x:c>
      <x:c r="F51" s="9" t="n">
        <x:v>11</x:v>
      </x:c>
      <x:c r="G51" s="9" t="n">
        <x:v>48</x:v>
      </x:c>
      <x:c r="H51" s="9" t="n">
        <x:v>88</x:v>
      </x:c>
      <x:c r="I51" s="13" t="n">
        <x:v>0.88</x:v>
      </x:c>
      <x:c r="J51" s="9" t="n">
        <x:v>10</x:v>
      </x:c>
      <x:c r="K51" s="9" t="n">
        <x:v>2</x:v>
      </x:c>
      <x:c r="L51" s="9" t="n">
        <x:v>2</x:v>
      </x:c>
      <x:c r="M51" s="13" t="n">
        <x:v>0.14</x:v>
      </x:c>
      <x:c r="N51" s="9" t="str">
        <x:v>26-10-26/exp1-perplexity/evidence-02/records/exp1-result-11.json</x:v>
      </x:c>
    </x:row>
    <x:row r="52" ht="28" customHeight="1">
      <x:c r="A52" s="16" t="str">
        <x:v>px24-g12</x:v>
      </x:c>
      <x:c r="B52" s="17" t="str">
        <x:v>[UNREADABLE]</x:v>
      </x:c>
      <x:c r="C52" s="16" t="str">
        <x:v>exp2-screenshot-f24-g12.png</x:v>
      </x:c>
      <x:c r="E52" s="9" t="n">
        <x:v>2</x:v>
      </x:c>
      <x:c r="F52" s="9" t="n">
        <x:v>12</x:v>
      </x:c>
      <x:c r="G52" s="9" t="n">
        <x:v>48</x:v>
      </x:c>
      <x:c r="H52" s="9" t="n">
        <x:v>90</x:v>
      </x:c>
      <x:c r="I52" s="13" t="n">
        <x:v>0.9</x:v>
      </x:c>
      <x:c r="J52" s="9" t="n">
        <x:v>9</x:v>
      </x:c>
      <x:c r="K52" s="9" t="n">
        <x:v>1</x:v>
      </x:c>
      <x:c r="L52" s="9" t="n">
        <x:v>0</x:v>
      </x:c>
      <x:c r="M52" s="13" t="n">
        <x:v>0.1</x:v>
      </x:c>
      <x:c r="N52" s="9" t="str">
        <x:v>26-10-26/exp1-perplexity/evidence-02/records/exp1-result-12.json</x:v>
      </x:c>
    </x:row>
    <x:row r="53" ht="28" customHeight="1">
      <x:c r="A53" s="16" t="str">
        <x:v>px24-g13</x:v>
      </x:c>
      <x:c r="B53" s="17" t="str">
        <x:v>[UNREADABLE]</x:v>
      </x:c>
      <x:c r="C53" s="16" t="str">
        <x:v>exp2-screenshot-f24-g13.png</x:v>
      </x:c>
      <x:c r="E53" s="9" t="n">
        <x:v>2</x:v>
      </x:c>
      <x:c r="F53" s="9" t="n">
        <x:v>13</x:v>
      </x:c>
      <x:c r="G53" s="9" t="n">
        <x:v>48</x:v>
      </x:c>
      <x:c r="H53" s="9" t="n">
        <x:v>87</x:v>
      </x:c>
      <x:c r="I53" s="13" t="n">
        <x:v>0.87</x:v>
      </x:c>
      <x:c r="J53" s="9" t="n">
        <x:v>11</x:v>
      </x:c>
      <x:c r="K53" s="9" t="n">
        <x:v>2</x:v>
      </x:c>
      <x:c r="L53" s="9" t="n">
        <x:v>2</x:v>
      </x:c>
      <x:c r="M53" s="13" t="n">
        <x:v>0.15</x:v>
      </x:c>
      <x:c r="N53" s="9" t="str">
        <x:v>26-10-26/exp1-perplexity/evidence-02/records/exp1-result-13.json</x:v>
      </x:c>
    </x:row>
    <x:row r="54" ht="28" customHeight="1">
      <x:c r="A54" s="16" t="str">
        <x:v>px24-g14</x:v>
      </x:c>
      <x:c r="B54" s="17" t="str">
        <x:v>[UNREADABLE]</x:v>
      </x:c>
      <x:c r="C54" s="16" t="str">
        <x:v>exp2-screenshot-f24-g14.png</x:v>
      </x:c>
      <x:c r="E54" s="9" t="n">
        <x:v>2</x:v>
      </x:c>
      <x:c r="F54" s="9" t="n">
        <x:v>14</x:v>
      </x:c>
      <x:c r="G54" s="9" t="n">
        <x:v>48</x:v>
      </x:c>
      <x:c r="H54" s="9" t="n">
        <x:v>95</x:v>
      </x:c>
      <x:c r="I54" s="13" t="n">
        <x:v>0.95</x:v>
      </x:c>
      <x:c r="J54" s="9" t="n">
        <x:v>3</x:v>
      </x:c>
      <x:c r="K54" s="9" t="n">
        <x:v>2</x:v>
      </x:c>
      <x:c r="L54" s="9" t="n">
        <x:v>1</x:v>
      </x:c>
      <x:c r="M54" s="13" t="n">
        <x:v>0.06</x:v>
      </x:c>
      <x:c r="N54" s="9" t="str">
        <x:v>26-10-26/exp1-perplexity/evidence-02/records/exp1-result-14.json</x:v>
      </x:c>
    </x:row>
    <x:row r="55" ht="28" customHeight="1">
      <x:c r="A55" s="16" t="str">
        <x:v>px24-g15</x:v>
      </x:c>
      <x:c r="B55" s="17" t="str">
        <x:v>[UNREADABLE]</x:v>
      </x:c>
      <x:c r="C55" s="16" t="str">
        <x:v>exp2-screenshot-f24-g15.png</x:v>
      </x:c>
      <x:c r="E55" s="9" t="n">
        <x:v>2</x:v>
      </x:c>
      <x:c r="F55" s="9" t="n">
        <x:v>15</x:v>
      </x:c>
      <x:c r="G55" s="9" t="n">
        <x:v>48</x:v>
      </x:c>
      <x:c r="H55" s="9" t="n">
        <x:v>92</x:v>
      </x:c>
      <x:c r="I55" s="13" t="n">
        <x:v>0.92</x:v>
      </x:c>
      <x:c r="J55" s="9" t="n">
        <x:v>7</x:v>
      </x:c>
      <x:c r="K55" s="9" t="n">
        <x:v>1</x:v>
      </x:c>
      <x:c r="L55" s="9" t="n">
        <x:v>0</x:v>
      </x:c>
      <x:c r="M55" s="13" t="n">
        <x:v>0.08</x:v>
      </x:c>
      <x:c r="N55" s="9" t="str">
        <x:v>26-10-26/exp1-perplexity/evidence-02/records/exp1-result-15.json</x:v>
      </x:c>
    </x:row>
    <x:row r="56" ht="28" customHeight="1">
      <x:c r="A56" s="16" t="str">
        <x:v>px24-g16</x:v>
      </x:c>
      <x:c r="B56" s="17" t="str">
        <x:v>[UNREADABLE]</x:v>
      </x:c>
      <x:c r="C56" s="16" t="str">
        <x:v>exp2-screenshot-f24-g16.png</x:v>
      </x:c>
      <x:c r="E56" s="9" t="n">
        <x:v>2</x:v>
      </x:c>
      <x:c r="F56" s="9" t="n">
        <x:v>16</x:v>
      </x:c>
      <x:c r="G56" s="9" t="n">
        <x:v>48</x:v>
      </x:c>
      <x:c r="H56" s="9" t="n">
        <x:v>94</x:v>
      </x:c>
      <x:c r="I56" s="13" t="n">
        <x:v>0.94</x:v>
      </x:c>
      <x:c r="J56" s="9" t="n">
        <x:v>6</x:v>
      </x:c>
      <x:c r="K56" s="9" t="n">
        <x:v>0</x:v>
      </x:c>
      <x:c r="L56" s="9" t="n">
        <x:v>0</x:v>
      </x:c>
      <x:c r="M56" s="13" t="n">
        <x:v>0.06</x:v>
      </x:c>
      <x:c r="N56" s="9" t="str">
        <x:v>26-10-26/exp1-perplexity/evidence-02/records/exp1-result-16.json</x:v>
      </x:c>
    </x:row>
    <x:row r="57" ht="28" customHeight="1">
      <x:c r="A57" s="16" t="str">
        <x:v>px24-g17</x:v>
      </x:c>
      <x:c r="B57" s="17" t="str">
        <x:v>[UNREADABLE]</x:v>
      </x:c>
      <x:c r="C57" s="16" t="str">
        <x:v>exp2-screenshot-f24-g17.png</x:v>
      </x:c>
      <x:c r="E57" s="9" t="n">
        <x:v>2</x:v>
      </x:c>
      <x:c r="F57" s="9" t="n">
        <x:v>17</x:v>
      </x:c>
      <x:c r="G57" s="9" t="n">
        <x:v>48</x:v>
      </x:c>
      <x:c r="H57" s="9" t="n">
        <x:v>93</x:v>
      </x:c>
      <x:c r="I57" s="13" t="n">
        <x:v>0.93</x:v>
      </x:c>
      <x:c r="J57" s="9" t="n">
        <x:v>6</x:v>
      </x:c>
      <x:c r="K57" s="9" t="n">
        <x:v>1</x:v>
      </x:c>
      <x:c r="L57" s="9" t="n">
        <x:v>1</x:v>
      </x:c>
      <x:c r="M57" s="13" t="n">
        <x:v>0.08</x:v>
      </x:c>
      <x:c r="N57" s="9" t="str">
        <x:v>26-10-26/exp1-perplexity/evidence-02/records/exp1-result-17.json</x:v>
      </x:c>
    </x:row>
    <x:row r="58" ht="28" customHeight="1">
      <x:c r="A58" s="16" t="str">
        <x:v>px24-g18</x:v>
      </x:c>
      <x:c r="B58" s="17" t="str">
        <x:v>[UNREADABLE]</x:v>
      </x:c>
      <x:c r="C58" s="16" t="str">
        <x:v>exp2-screenshot-f24-g18.png</x:v>
      </x:c>
      <x:c r="E58" s="9" t="n">
        <x:v>2</x:v>
      </x:c>
      <x:c r="F58" s="9" t="n">
        <x:v>18</x:v>
      </x:c>
      <x:c r="G58" s="9" t="n">
        <x:v>48</x:v>
      </x:c>
      <x:c r="H58" s="9" t="n">
        <x:v>97</x:v>
      </x:c>
      <x:c r="I58" s="13" t="n">
        <x:v>0.97</x:v>
      </x:c>
      <x:c r="J58" s="9" t="n">
        <x:v>3</x:v>
      </x:c>
      <x:c r="K58" s="9" t="n">
        <x:v>0</x:v>
      </x:c>
      <x:c r="L58" s="9" t="n">
        <x:v>1</x:v>
      </x:c>
      <x:c r="M58" s="13" t="n">
        <x:v>0.04</x:v>
      </x:c>
      <x:c r="N58" s="9" t="str">
        <x:v>26-10-26/exp1-perplexity/evidence-02/records/exp1-result-18.json</x:v>
      </x:c>
    </x:row>
    <x:row r="59" ht="28" customHeight="1">
      <x:c r="A59" s="16" t="str">
        <x:v>px24-g19</x:v>
      </x:c>
      <x:c r="B59" s="17" t="str">
        <x:v>[UNREADABLE]</x:v>
      </x:c>
      <x:c r="C59" s="16" t="str">
        <x:v>exp2-screenshot-f24-g19.png</x:v>
      </x:c>
      <x:c r="E59" s="9" t="n">
        <x:v>2</x:v>
      </x:c>
      <x:c r="F59" s="9" t="n">
        <x:v>19</x:v>
      </x:c>
      <x:c r="G59" s="9" t="n">
        <x:v>48</x:v>
      </x:c>
      <x:c r="H59" s="9" t="n">
        <x:v>95</x:v>
      </x:c>
      <x:c r="I59" s="13" t="n">
        <x:v>0.95</x:v>
      </x:c>
      <x:c r="J59" s="9" t="n">
        <x:v>5</x:v>
      </x:c>
      <x:c r="K59" s="9" t="n">
        <x:v>0</x:v>
      </x:c>
      <x:c r="L59" s="9" t="n">
        <x:v>0</x:v>
      </x:c>
      <x:c r="M59" s="13" t="n">
        <x:v>0.05</x:v>
      </x:c>
      <x:c r="N59" s="9" t="str">
        <x:v>26-10-26/exp1-perplexity/evidence-02/records/exp1-result-19.json</x:v>
      </x:c>
    </x:row>
    <x:row r="60" ht="28" customHeight="1">
      <x:c r="A60" s="16" t="str">
        <x:v>px24-g20</x:v>
      </x:c>
      <x:c r="B60" s="17" t="str">
        <x:v>[UNREADABLE]</x:v>
      </x:c>
      <x:c r="C60" s="16" t="str">
        <x:v>exp2-screenshot-f24-g20.png</x:v>
      </x:c>
      <x:c r="E60" s="9" t="n">
        <x:v>2</x:v>
      </x:c>
      <x:c r="F60" s="9" t="n">
        <x:v>20</x:v>
      </x:c>
      <x:c r="G60" s="9" t="n">
        <x:v>48</x:v>
      </x:c>
      <x:c r="H60" s="9" t="n">
        <x:v>95</x:v>
      </x:c>
      <x:c r="I60" s="13" t="n">
        <x:v>0.95</x:v>
      </x:c>
      <x:c r="J60" s="9" t="n">
        <x:v>5</x:v>
      </x:c>
      <x:c r="K60" s="9" t="n">
        <x:v>0</x:v>
      </x:c>
      <x:c r="L60" s="9" t="n">
        <x:v>1</x:v>
      </x:c>
      <x:c r="M60" s="13" t="n">
        <x:v>0.06</x:v>
      </x:c>
      <x:c r="N60" s="9" t="str">
        <x:v>26-10-26/exp1-perplexity/evidence-02/records/exp1-result-20.json</x:v>
      </x:c>
    </x:row>
    <x:row r="61" ht="28" customHeight="1">
      <x:c r="A61" s="16" t="str">
        <x:v>px24-g21</x:v>
      </x:c>
      <x:c r="B61" s="17" t="str">
        <x:v>[UNREADABLE]</x:v>
      </x:c>
      <x:c r="C61" s="16" t="str">
        <x:v>exp2-screenshot-f24-g21.png</x:v>
      </x:c>
      <x:c r="E61" s="9" t="n">
        <x:v>2</x:v>
      </x:c>
      <x:c r="F61" s="9" t="n">
        <x:v>21</x:v>
      </x:c>
      <x:c r="G61" s="9" t="n">
        <x:v>48</x:v>
      </x:c>
      <x:c r="H61" s="9" t="n">
        <x:v>97</x:v>
      </x:c>
      <x:c r="I61" s="13" t="n">
        <x:v>0.97</x:v>
      </x:c>
      <x:c r="J61" s="9" t="n">
        <x:v>3</x:v>
      </x:c>
      <x:c r="K61" s="9" t="n">
        <x:v>0</x:v>
      </x:c>
      <x:c r="L61" s="9" t="n">
        <x:v>0</x:v>
      </x:c>
      <x:c r="M61" s="13" t="n">
        <x:v>0.03</x:v>
      </x:c>
      <x:c r="N61" s="9" t="str">
        <x:v>26-10-26/exp1-perplexity/evidence-02/records/exp1-result-21.json</x:v>
      </x:c>
    </x:row>
    <x:row r="62" ht="28" customHeight="1">
      <x:c r="A62" s="16" t="str">
        <x:v>px24-g22</x:v>
      </x:c>
      <x:c r="B62" s="17" t="str">
        <x:v>[UNREADABLE]</x:v>
      </x:c>
      <x:c r="C62" s="16" t="str">
        <x:v>exp2-screenshot-f24-g22.png</x:v>
      </x:c>
      <x:c r="E62" s="9" t="n">
        <x:v>2</x:v>
      </x:c>
      <x:c r="F62" s="9" t="n">
        <x:v>22</x:v>
      </x:c>
      <x:c r="G62" s="9" t="n">
        <x:v>48</x:v>
      </x:c>
      <x:c r="H62" s="9" t="n">
        <x:v>95</x:v>
      </x:c>
      <x:c r="I62" s="13" t="n">
        <x:v>0.95</x:v>
      </x:c>
      <x:c r="J62" s="9" t="n">
        <x:v>4</x:v>
      </x:c>
      <x:c r="K62" s="9" t="n">
        <x:v>1</x:v>
      </x:c>
      <x:c r="L62" s="9" t="n">
        <x:v>0</x:v>
      </x:c>
      <x:c r="M62" s="13" t="n">
        <x:v>0.05</x:v>
      </x:c>
      <x:c r="N62" s="9" t="str">
        <x:v>26-10-26/exp1-perplexity/evidence-02/records/exp1-result-22.json</x:v>
      </x:c>
    </x:row>
    <x:row r="63" ht="28" customHeight="1">
      <x:c r="A63" s="16" t="str">
        <x:v>px24-g23</x:v>
      </x:c>
      <x:c r="B63" s="17" t="str">
        <x:v>[UNREADABLE]</x:v>
      </x:c>
      <x:c r="C63" s="16" t="str">
        <x:v>exp2-screenshot-f24-g23.png</x:v>
      </x:c>
      <x:c r="E63" s="9" t="n">
        <x:v>2</x:v>
      </x:c>
      <x:c r="F63" s="9" t="n">
        <x:v>23</x:v>
      </x:c>
      <x:c r="G63" s="9" t="n">
        <x:v>48</x:v>
      </x:c>
      <x:c r="H63" s="9" t="n">
        <x:v>96</x:v>
      </x:c>
      <x:c r="I63" s="13" t="n">
        <x:v>0.96</x:v>
      </x:c>
      <x:c r="J63" s="9" t="n">
        <x:v>4</x:v>
      </x:c>
      <x:c r="K63" s="9" t="n">
        <x:v>0</x:v>
      </x:c>
      <x:c r="L63" s="9" t="n">
        <x:v>0</x:v>
      </x:c>
      <x:c r="M63" s="13" t="n">
        <x:v>0.04</x:v>
      </x:c>
      <x:c r="N63" s="9" t="str">
        <x:v>26-10-26/exp1-perplexity/evidence-02/records/exp1-result-23.json</x:v>
      </x:c>
    </x:row>
    <x:row r="64" ht="28" customHeight="1">
      <x:c r="A64" s="16" t="str">
        <x:v>px24-g24</x:v>
      </x:c>
      <x:c r="B64" s="17" t="str">
        <x:v>[UNREADABLE]</x:v>
      </x:c>
      <x:c r="C64" s="16" t="str">
        <x:v>exp2-screenshot-f24-g24.png</x:v>
      </x:c>
      <x:c r="E64" s="9" t="n">
        <x:v>2</x:v>
      </x:c>
      <x:c r="F64" s="9" t="n">
        <x:v>24</x:v>
      </x:c>
      <x:c r="G64" s="9" t="n">
        <x:v>48</x:v>
      </x:c>
      <x:c r="H64" s="9" t="n">
        <x:v>97</x:v>
      </x:c>
      <x:c r="I64" s="13" t="n">
        <x:v>0.97</x:v>
      </x:c>
      <x:c r="J64" s="9" t="n">
        <x:v>2</x:v>
      </x:c>
      <x:c r="K64" s="9" t="n">
        <x:v>1</x:v>
      </x:c>
      <x:c r="L64" s="9" t="n">
        <x:v>1</x:v>
      </x:c>
      <x:c r="M64" s="13" t="n">
        <x:v>0.04</x:v>
      </x:c>
      <x:c r="N64" s="9" t="str">
        <x:v>26-10-26/exp1-perplexity/evidence-02/records/exp1-result-24.json</x:v>
      </x:c>
    </x:row>
    <x:row r="65" ht="28" customHeight="1">
      <x:c r="A65" s="16" t="str">
        <x:v>px24-g25</x:v>
      </x:c>
      <x:c r="B65" s="17" t="str">
        <x:v>[UNREADABLE]</x:v>
      </x:c>
      <x:c r="C65" s="16" t="str">
        <x:v>exp2-screenshot-f24-g25.png</x:v>
      </x:c>
      <x:c r="E65" s="9" t="n">
        <x:v>2</x:v>
      </x:c>
      <x:c r="F65" s="9" t="n">
        <x:v>25</x:v>
      </x:c>
      <x:c r="G65" s="9" t="n">
        <x:v>48</x:v>
      </x:c>
      <x:c r="H65" s="9" t="n">
        <x:v>97</x:v>
      </x:c>
      <x:c r="I65" s="13" t="n">
        <x:v>0.97</x:v>
      </x:c>
      <x:c r="J65" s="9" t="n">
        <x:v>3</x:v>
      </x:c>
      <x:c r="K65" s="9" t="n">
        <x:v>0</x:v>
      </x:c>
      <x:c r="L65" s="9" t="n">
        <x:v>1</x:v>
      </x:c>
      <x:c r="M65" s="13" t="n">
        <x:v>0.04</x:v>
      </x:c>
      <x:c r="N65" s="9" t="str">
        <x:v>26-10-26/exp1-perplexity/evidence-02/records/exp1-result-25.json</x:v>
      </x:c>
    </x:row>
    <x:row r="66" ht="28" customHeight="1">
      <x:c r="A66" s="16" t="str">
        <x:v>px24-g26</x:v>
      </x:c>
      <x:c r="B66" s="17" t="str">
        <x:v>[UNREADABLE]</x:v>
      </x:c>
      <x:c r="C66" s="16" t="str">
        <x:v>exp2-screenshot-f24-g26.png</x:v>
      </x:c>
      <x:c r="E66" s="9" t="n">
        <x:v>2</x:v>
      </x:c>
      <x:c r="F66" s="9" t="n">
        <x:v>26</x:v>
      </x:c>
      <x:c r="G66" s="9" t="n">
        <x:v>48</x:v>
      </x:c>
      <x:c r="H66" s="9" t="n">
        <x:v>98</x:v>
      </x:c>
      <x:c r="I66" s="13" t="n">
        <x:v>0.98</x:v>
      </x:c>
      <x:c r="J66" s="9" t="n">
        <x:v>2</x:v>
      </x:c>
      <x:c r="K66" s="9" t="n">
        <x:v>0</x:v>
      </x:c>
      <x:c r="L66" s="9" t="n">
        <x:v>0</x:v>
      </x:c>
      <x:c r="M66" s="13" t="n">
        <x:v>0.02</x:v>
      </x:c>
      <x:c r="N66" s="9" t="str">
        <x:v>26-10-26/exp1-perplexity/evidence-02/records/exp1-result-26.json</x:v>
      </x:c>
    </x:row>
    <x:row r="67" ht="28" customHeight="1">
      <x:c r="A67" s="16" t="str">
        <x:v>px24-g27</x:v>
      </x:c>
      <x:c r="B67" s="17" t="str">
        <x:v>[UNREADABLE]</x:v>
      </x:c>
      <x:c r="C67" s="16" t="str">
        <x:v>exp2-screenshot-f24-g27.png</x:v>
      </x:c>
      <x:c r="E67" s="9" t="n">
        <x:v>2</x:v>
      </x:c>
      <x:c r="F67" s="9" t="n">
        <x:v>27</x:v>
      </x:c>
      <x:c r="G67" s="9" t="n">
        <x:v>48</x:v>
      </x:c>
      <x:c r="H67" s="9" t="n">
        <x:v>95</x:v>
      </x:c>
      <x:c r="I67" s="13" t="n">
        <x:v>0.95</x:v>
      </x:c>
      <x:c r="J67" s="9" t="n">
        <x:v>4</x:v>
      </x:c>
      <x:c r="K67" s="9" t="n">
        <x:v>1</x:v>
      </x:c>
      <x:c r="L67" s="9" t="n">
        <x:v>1</x:v>
      </x:c>
      <x:c r="M67" s="13" t="n">
        <x:v>0.06</x:v>
      </x:c>
      <x:c r="N67" s="9" t="str">
        <x:v>26-10-26/exp1-perplexity/evidence-02/records/exp1-result-27.json</x:v>
      </x:c>
    </x:row>
    <x:row r="68" ht="28" customHeight="1">
      <x:c r="A68" s="16" t="str">
        <x:v>px24-g28</x:v>
      </x:c>
      <x:c r="B68" s="17" t="str">
        <x:v>[UNREADABLE]</x:v>
      </x:c>
      <x:c r="C68" s="16" t="str">
        <x:v>exp2-screenshot-f24-g28.png</x:v>
      </x:c>
      <x:c r="E68" s="9" t="n">
        <x:v>2</x:v>
      </x:c>
      <x:c r="F68" s="9" t="n">
        <x:v>28</x:v>
      </x:c>
      <x:c r="G68" s="9" t="n">
        <x:v>48</x:v>
      </x:c>
      <x:c r="H68" s="9" t="n">
        <x:v>98</x:v>
      </x:c>
      <x:c r="I68" s="13" t="n">
        <x:v>0.98</x:v>
      </x:c>
      <x:c r="J68" s="9" t="n">
        <x:v>2</x:v>
      </x:c>
      <x:c r="K68" s="9" t="n">
        <x:v>0</x:v>
      </x:c>
      <x:c r="L68" s="9" t="n">
        <x:v>0</x:v>
      </x:c>
      <x:c r="M68" s="13" t="n">
        <x:v>0.02</x:v>
      </x:c>
      <x:c r="N68" s="9" t="str">
        <x:v>26-10-26/exp1-perplexity/evidence-02/records/exp1-result-28.json</x:v>
      </x:c>
    </x:row>
    <x:row r="69" ht="28" customHeight="1">
      <x:c r="A69" s="16" t="str">
        <x:v>px24-g29</x:v>
      </x:c>
      <x:c r="B69" s="17" t="str">
        <x:v>[UNREADABLE]</x:v>
      </x:c>
      <x:c r="C69" s="16" t="str">
        <x:v>exp2-screenshot-f24-g29.png</x:v>
      </x:c>
      <x:c r="E69" s="9" t="n">
        <x:v>2</x:v>
      </x:c>
      <x:c r="F69" s="9" t="n">
        <x:v>29</x:v>
      </x:c>
      <x:c r="G69" s="9" t="n">
        <x:v>48</x:v>
      </x:c>
      <x:c r="H69" s="9" t="n">
        <x:v>96</x:v>
      </x:c>
      <x:c r="I69" s="13" t="n">
        <x:v>0.96</x:v>
      </x:c>
      <x:c r="J69" s="9" t="n">
        <x:v>3</x:v>
      </x:c>
      <x:c r="K69" s="9" t="n">
        <x:v>1</x:v>
      </x:c>
      <x:c r="L69" s="9" t="n">
        <x:v>2</x:v>
      </x:c>
      <x:c r="M69" s="13" t="n">
        <x:v>0.06</x:v>
      </x:c>
      <x:c r="N69" s="9" t="str">
        <x:v>26-10-26/exp1-perplexity/evidence-02/records/exp1-result-29.json</x:v>
      </x:c>
    </x:row>
    <x:row r="70" ht="28" customHeight="1">
      <x:c r="A70" s="16" t="str">
        <x:v>px24-g30</x:v>
      </x:c>
      <x:c r="B70" s="17" t="str">
        <x:v>[UNREADABLE]</x:v>
      </x:c>
      <x:c r="C70" s="16" t="str">
        <x:v>exp2-screenshot-f24-g30.png</x:v>
      </x:c>
      <x:c r="E70" s="9" t="n">
        <x:v>2</x:v>
      </x:c>
      <x:c r="F70" s="9" t="n">
        <x:v>30</x:v>
      </x:c>
      <x:c r="G70" s="9" t="n">
        <x:v>48</x:v>
      </x:c>
      <x:c r="H70" s="9" t="n">
        <x:v>97</x:v>
      </x:c>
      <x:c r="I70" s="13" t="n">
        <x:v>0.97</x:v>
      </x:c>
      <x:c r="J70" s="9" t="n">
        <x:v>3</x:v>
      </x:c>
      <x:c r="K70" s="9" t="n">
        <x:v>0</x:v>
      </x:c>
      <x:c r="L70" s="9" t="n">
        <x:v>1</x:v>
      </x:c>
      <x:c r="M70" s="13" t="n">
        <x:v>0.04</x:v>
      </x:c>
      <x:c r="N70" s="9" t="str">
        <x:v>26-10-26/exp1-perplexity/evidence-02/records/exp1-result-30.json</x:v>
      </x:c>
    </x:row>
    <x:row r="71" ht="28" customHeight="1">
      <x:c r="A71" s="16" t="str">
        <x:v>px24-g31</x:v>
      </x:c>
      <x:c r="B71" s="17" t="str">
        <x:v>[UNREADABLE]</x:v>
      </x:c>
      <x:c r="C71" s="16" t="str">
        <x:v>exp2-screenshot-f24-g31.png</x:v>
      </x:c>
      <x:c r="E71" s="9" t="n">
        <x:v>2</x:v>
      </x:c>
      <x:c r="F71" s="9" t="n">
        <x:v>31</x:v>
      </x:c>
      <x:c r="G71" s="9" t="n">
        <x:v>48</x:v>
      </x:c>
      <x:c r="H71" s="9" t="n">
        <x:v>97</x:v>
      </x:c>
      <x:c r="I71" s="13" t="n">
        <x:v>0.97</x:v>
      </x:c>
      <x:c r="J71" s="9" t="n">
        <x:v>2</x:v>
      </x:c>
      <x:c r="K71" s="9" t="n">
        <x:v>1</x:v>
      </x:c>
      <x:c r="L71" s="9" t="n">
        <x:v>0</x:v>
      </x:c>
      <x:c r="M71" s="13" t="n">
        <x:v>0.03</x:v>
      </x:c>
      <x:c r="N71" s="9" t="str">
        <x:v>26-10-26/exp1-perplexity/evidence-02/records/exp1-result-31.json</x:v>
      </x:c>
    </x:row>
    <x:row r="72" ht="28" customHeight="1">
      <x:c r="A72" s="16" t="str">
        <x:v>px24-g32</x:v>
      </x:c>
      <x:c r="B72" s="17" t="str">
        <x:v>[UNREADABLE]</x:v>
      </x:c>
      <x:c r="C72" s="16" t="str">
        <x:v>exp2-screenshot-f24-g32.png</x:v>
      </x:c>
      <x:c r="E72" s="9" t="n">
        <x:v>2</x:v>
      </x:c>
      <x:c r="F72" s="9" t="n">
        <x:v>32</x:v>
      </x:c>
      <x:c r="G72" s="9" t="n">
        <x:v>48</x:v>
      </x:c>
      <x:c r="H72" s="9" t="n">
        <x:v>97</x:v>
      </x:c>
      <x:c r="I72" s="13" t="n">
        <x:v>0.97</x:v>
      </x:c>
      <x:c r="J72" s="9" t="n">
        <x:v>2</x:v>
      </x:c>
      <x:c r="K72" s="9" t="n">
        <x:v>1</x:v>
      </x:c>
      <x:c r="L72" s="9" t="n">
        <x:v>0</x:v>
      </x:c>
      <x:c r="M72" s="13" t="n">
        <x:v>0.03</x:v>
      </x:c>
      <x:c r="N72" s="9" t="str">
        <x:v>26-10-26/exp1-perplexity/evidence-02/records/exp1-result-32.json</x:v>
      </x:c>
    </x:row>
    <x:row r="73" ht="28" customHeight="1">
      <x:c r="A73" s="16" t="str">
        <x:v>px32-g01</x:v>
      </x:c>
      <x:c r="B73" s="17" t="str">
        <x:v>[UNREADABLE]</x:v>
      </x:c>
      <x:c r="C73" s="16" t="str">
        <x:v>exp2-screenshot-f32-g01.png</x:v>
      </x:c>
      <x:c r="E73" s="9" t="n">
        <x:v>3</x:v>
      </x:c>
      <x:c r="F73" s="9" t="n">
        <x:v>1</x:v>
      </x:c>
      <x:c r="G73" s="9" t="n">
        <x:v>48</x:v>
      </x:c>
      <x:c r="H73" s="9" t="n">
        <x:v>0</x:v>
      </x:c>
      <x:c r="I73" s="13" t="n">
        <x:v>0</x:v>
      </x:c>
      <x:c r="J73" s="9" t="n">
        <x:v>0</x:v>
      </x:c>
      <x:c r="K73" s="9" t="n">
        <x:v>100</x:v>
      </x:c>
      <x:c r="L73" s="9" t="n">
        <x:v>0</x:v>
      </x:c>
      <x:c r="M73" s="13" t="n">
        <x:v>1</x:v>
      </x:c>
      <x:c r="N73" s="9" t="str">
        <x:v>26-10-26/exp1-perplexity/evidence-03/records/exp1-result-1.json</x:v>
      </x:c>
    </x:row>
    <x:row r="74" ht="28" customHeight="1">
      <x:c r="A74" s="16" t="str">
        <x:v>px32-g02</x:v>
      </x:c>
      <x:c r="B74" s="17" t="str">
        <x:v>[UNREADABLE]</x:v>
      </x:c>
      <x:c r="C74" s="16" t="str">
        <x:v>exp2-screenshot-f32-g02.png</x:v>
      </x:c>
      <x:c r="E74" s="9" t="n">
        <x:v>3</x:v>
      </x:c>
      <x:c r="F74" s="9" t="n">
        <x:v>2</x:v>
      </x:c>
      <x:c r="G74" s="9" t="n">
        <x:v>48</x:v>
      </x:c>
      <x:c r="H74" s="9" t="n">
        <x:v>0</x:v>
      </x:c>
      <x:c r="I74" s="13" t="n">
        <x:v>0</x:v>
      </x:c>
      <x:c r="J74" s="9" t="n">
        <x:v>0</x:v>
      </x:c>
      <x:c r="K74" s="9" t="n">
        <x:v>100</x:v>
      </x:c>
      <x:c r="L74" s="9" t="n">
        <x:v>0</x:v>
      </x:c>
      <x:c r="M74" s="13" t="n">
        <x:v>1</x:v>
      </x:c>
      <x:c r="N74" s="9" t="str">
        <x:v>26-10-26/exp1-perplexity/evidence-03/records/exp1-result-2.json</x:v>
      </x:c>
    </x:row>
    <x:row r="75" ht="28" customHeight="1">
      <x:c r="A75" s="16" t="str">
        <x:v>px32-g03</x:v>
      </x:c>
      <x:c r="B75" s="17" t="str">
        <x:v>[UNREADABLE]</x:v>
      </x:c>
      <x:c r="C75" s="16" t="str">
        <x:v>exp2-screenshot-f32-g03.png</x:v>
      </x:c>
      <x:c r="E75" s="9" t="n">
        <x:v>3</x:v>
      </x:c>
      <x:c r="F75" s="9" t="n">
        <x:v>3</x:v>
      </x:c>
      <x:c r="G75" s="9" t="n">
        <x:v>48</x:v>
      </x:c>
      <x:c r="H75" s="9" t="n">
        <x:v>0</x:v>
      </x:c>
      <x:c r="I75" s="13" t="n">
        <x:v>0</x:v>
      </x:c>
      <x:c r="J75" s="9" t="n">
        <x:v>0</x:v>
      </x:c>
      <x:c r="K75" s="9" t="n">
        <x:v>100</x:v>
      </x:c>
      <x:c r="L75" s="9" t="n">
        <x:v>0</x:v>
      </x:c>
      <x:c r="M75" s="13" t="n">
        <x:v>1</x:v>
      </x:c>
      <x:c r="N75" s="9" t="str">
        <x:v>26-10-26/exp1-perplexity/evidence-03/records/exp1-result-3.json</x:v>
      </x:c>
    </x:row>
    <x:row r="76" ht="28" customHeight="1">
      <x:c r="A76" s="16" t="str">
        <x:v>px32-g04</x:v>
      </x:c>
      <x:c r="B76" s="17" t="str">
        <x:v>[UNREADABLE]</x:v>
      </x:c>
      <x:c r="C76" s="16" t="str">
        <x:v>exp2-screenshot-f32-g04.png</x:v>
      </x:c>
      <x:c r="E76" s="9" t="n">
        <x:v>3</x:v>
      </x:c>
      <x:c r="F76" s="9" t="n">
        <x:v>4</x:v>
      </x:c>
      <x:c r="G76" s="9" t="n">
        <x:v>48</x:v>
      </x:c>
      <x:c r="H76" s="9" t="n">
        <x:v>0</x:v>
      </x:c>
      <x:c r="I76" s="13" t="n">
        <x:v>0</x:v>
      </x:c>
      <x:c r="J76" s="9" t="n">
        <x:v>0</x:v>
      </x:c>
      <x:c r="K76" s="9" t="n">
        <x:v>100</x:v>
      </x:c>
      <x:c r="L76" s="9" t="n">
        <x:v>0</x:v>
      </x:c>
      <x:c r="M76" s="13" t="n">
        <x:v>1</x:v>
      </x:c>
      <x:c r="N76" s="9" t="str">
        <x:v>26-10-26/exp1-perplexity/evidence-03/records/exp1-result-4.json</x:v>
      </x:c>
    </x:row>
    <x:row r="77" ht="28" customHeight="1">
      <x:c r="A77" s="16" t="str">
        <x:v>px32-g05</x:v>
      </x:c>
      <x:c r="B77" s="17" t="str">
        <x:v>[UNREADABLE]</x:v>
      </x:c>
      <x:c r="C77" s="16" t="str">
        <x:v>exp2-screenshot-f32-g05.png</x:v>
      </x:c>
      <x:c r="E77" s="9" t="n">
        <x:v>3</x:v>
      </x:c>
      <x:c r="F77" s="9" t="n">
        <x:v>5</x:v>
      </x:c>
      <x:c r="G77" s="9" t="n">
        <x:v>48</x:v>
      </x:c>
      <x:c r="H77" s="9" t="n">
        <x:v>0</x:v>
      </x:c>
      <x:c r="I77" s="13" t="n">
        <x:v>0</x:v>
      </x:c>
      <x:c r="J77" s="9" t="n">
        <x:v>0</x:v>
      </x:c>
      <x:c r="K77" s="9" t="n">
        <x:v>100</x:v>
      </x:c>
      <x:c r="L77" s="9" t="n">
        <x:v>0</x:v>
      </x:c>
      <x:c r="M77" s="13" t="n">
        <x:v>1</x:v>
      </x:c>
      <x:c r="N77" s="9" t="str">
        <x:v>26-10-26/exp1-perplexity/evidence-03/records/exp1-result-5.json</x:v>
      </x:c>
    </x:row>
    <x:row r="78" ht="28" customHeight="1">
      <x:c r="A78" s="16" t="str">
        <x:v>px32-g06</x:v>
      </x:c>
      <x:c r="B78" s="17" t="str">
        <x:v>[UNREADABLE]</x:v>
      </x:c>
      <x:c r="C78" s="16" t="str">
        <x:v>exp2-screenshot-f32-g06.png</x:v>
      </x:c>
      <x:c r="E78" s="9" t="n">
        <x:v>3</x:v>
      </x:c>
      <x:c r="F78" s="9" t="n">
        <x:v>6</x:v>
      </x:c>
      <x:c r="G78" s="9" t="n">
        <x:v>48</x:v>
      </x:c>
      <x:c r="H78" s="9" t="n">
        <x:v>38</x:v>
      </x:c>
      <x:c r="I78" s="13" t="n">
        <x:v>0.38</x:v>
      </x:c>
      <x:c r="J78" s="9" t="n">
        <x:v>29</x:v>
      </x:c>
      <x:c r="K78" s="9" t="n">
        <x:v>33</x:v>
      </x:c>
      <x:c r="L78" s="9" t="n">
        <x:v>2</x:v>
      </x:c>
      <x:c r="M78" s="13" t="n">
        <x:v>0.64</x:v>
      </x:c>
      <x:c r="N78" s="9" t="str">
        <x:v>26-10-26/exp1-perplexity/evidence-03/records/exp1-result-6.json</x:v>
      </x:c>
    </x:row>
    <x:row r="79" ht="28" customHeight="1">
      <x:c r="A79" s="16" t="str">
        <x:v>px32-g07</x:v>
      </x:c>
      <x:c r="B79" s="17" t="str">
        <x:v>[UNREADABLE]</x:v>
      </x:c>
      <x:c r="C79" s="16" t="str">
        <x:v>exp2-screenshot-f32-g07.png</x:v>
      </x:c>
      <x:c r="E79" s="9" t="n">
        <x:v>3</x:v>
      </x:c>
      <x:c r="F79" s="9" t="n">
        <x:v>7</x:v>
      </x:c>
      <x:c r="G79" s="9" t="n">
        <x:v>48</x:v>
      </x:c>
      <x:c r="H79" s="9" t="n">
        <x:v>64</x:v>
      </x:c>
      <x:c r="I79" s="13" t="n">
        <x:v>0.64</x:v>
      </x:c>
      <x:c r="J79" s="9" t="n">
        <x:v>29</x:v>
      </x:c>
      <x:c r="K79" s="9" t="n">
        <x:v>7</x:v>
      </x:c>
      <x:c r="L79" s="9" t="n">
        <x:v>1</x:v>
      </x:c>
      <x:c r="M79" s="13" t="n">
        <x:v>0.37</x:v>
      </x:c>
      <x:c r="N79" s="9" t="str">
        <x:v>26-10-26/exp1-perplexity/evidence-03/records/exp1-result-7.json</x:v>
      </x:c>
    </x:row>
    <x:row r="80" ht="28" customHeight="1">
      <x:c r="A80" s="16" t="str">
        <x:v>px32-g08</x:v>
      </x:c>
      <x:c r="B80" s="17" t="str">
        <x:v>[UNREADABLE]</x:v>
      </x:c>
      <x:c r="C80" s="16" t="str">
        <x:v>exp2-screenshot-f32-g08.png</x:v>
      </x:c>
      <x:c r="E80" s="9" t="n">
        <x:v>3</x:v>
      </x:c>
      <x:c r="F80" s="9" t="n">
        <x:v>8</x:v>
      </x:c>
      <x:c r="G80" s="9" t="n">
        <x:v>48</x:v>
      </x:c>
      <x:c r="H80" s="9" t="n">
        <x:v>76</x:v>
      </x:c>
      <x:c r="I80" s="13" t="n">
        <x:v>0.76</x:v>
      </x:c>
      <x:c r="J80" s="9" t="n">
        <x:v>18</x:v>
      </x:c>
      <x:c r="K80" s="9" t="n">
        <x:v>6</x:v>
      </x:c>
      <x:c r="L80" s="9" t="n">
        <x:v>3</x:v>
      </x:c>
      <x:c r="M80" s="13" t="n">
        <x:v>0.27</x:v>
      </x:c>
      <x:c r="N80" s="9" t="str">
        <x:v>26-10-26/exp1-perplexity/evidence-03/records/exp1-result-8.json</x:v>
      </x:c>
    </x:row>
    <x:row r="81" ht="28" customHeight="1">
      <x:c r="A81" s="16" t="str">
        <x:v>px32-g09</x:v>
      </x:c>
      <x:c r="B81" s="17" t="str">
        <x:v>[UNREADABLE]</x:v>
      </x:c>
      <x:c r="C81" s="16" t="str">
        <x:v>exp2-screenshot-f32-g09.png</x:v>
      </x:c>
      <x:c r="E81" s="9" t="n">
        <x:v>3</x:v>
      </x:c>
      <x:c r="F81" s="9" t="n">
        <x:v>9</x:v>
      </x:c>
      <x:c r="G81" s="9" t="n">
        <x:v>48</x:v>
      </x:c>
      <x:c r="H81" s="9" t="n">
        <x:v>71</x:v>
      </x:c>
      <x:c r="I81" s="13" t="n">
        <x:v>0.71</x:v>
      </x:c>
      <x:c r="J81" s="9" t="n">
        <x:v>21</x:v>
      </x:c>
      <x:c r="K81" s="9" t="n">
        <x:v>8</x:v>
      </x:c>
      <x:c r="L81" s="9" t="n">
        <x:v>0</x:v>
      </x:c>
      <x:c r="M81" s="13" t="n">
        <x:v>0.29</x:v>
      </x:c>
      <x:c r="N81" s="9" t="str">
        <x:v>26-10-26/exp1-perplexity/evidence-03/records/exp1-result-9.json</x:v>
      </x:c>
    </x:row>
    <x:row r="82" ht="28" customHeight="1">
      <x:c r="A82" s="16" t="str">
        <x:v>px32-g10</x:v>
      </x:c>
      <x:c r="B82" s="17" t="str">
        <x:v>[UNREADABLE]</x:v>
      </x:c>
      <x:c r="C82" s="16" t="str">
        <x:v>exp2-screenshot-f32-g10.png</x:v>
      </x:c>
      <x:c r="E82" s="9" t="n">
        <x:v>3</x:v>
      </x:c>
      <x:c r="F82" s="9" t="n">
        <x:v>10</x:v>
      </x:c>
      <x:c r="G82" s="9" t="n">
        <x:v>48</x:v>
      </x:c>
      <x:c r="H82" s="9" t="n">
        <x:v>85</x:v>
      </x:c>
      <x:c r="I82" s="13" t="n">
        <x:v>0.85</x:v>
      </x:c>
      <x:c r="J82" s="9" t="n">
        <x:v>12</x:v>
      </x:c>
      <x:c r="K82" s="9" t="n">
        <x:v>3</x:v>
      </x:c>
      <x:c r="L82" s="9" t="n">
        <x:v>2</x:v>
      </x:c>
      <x:c r="M82" s="13" t="n">
        <x:v>0.17</x:v>
      </x:c>
      <x:c r="N82" s="9" t="str">
        <x:v>26-10-26/exp1-perplexity/evidence-03/records/exp1-result-10.json</x:v>
      </x:c>
    </x:row>
    <x:row r="83" ht="28" customHeight="1">
      <x:c r="A83" s="16" t="str">
        <x:v>px32-g11</x:v>
      </x:c>
      <x:c r="B83" s="17" t="str">
        <x:v>[UNREADABLE]</x:v>
      </x:c>
      <x:c r="C83" s="16" t="str">
        <x:v>exp2-screenshot-f32-g11.png</x:v>
      </x:c>
      <x:c r="E83" s="9" t="n">
        <x:v>3</x:v>
      </x:c>
      <x:c r="F83" s="9" t="n">
        <x:v>11</x:v>
      </x:c>
      <x:c r="G83" s="9" t="n">
        <x:v>48</x:v>
      </x:c>
      <x:c r="H83" s="9" t="n">
        <x:v>92</x:v>
      </x:c>
      <x:c r="I83" s="13" t="n">
        <x:v>0.92</x:v>
      </x:c>
      <x:c r="J83" s="9" t="n">
        <x:v>8</x:v>
      </x:c>
      <x:c r="K83" s="9" t="n">
        <x:v>0</x:v>
      </x:c>
      <x:c r="L83" s="9" t="n">
        <x:v>0</x:v>
      </x:c>
      <x:c r="M83" s="13" t="n">
        <x:v>0.08</x:v>
      </x:c>
      <x:c r="N83" s="9" t="str">
        <x:v>26-10-26/exp1-perplexity/evidence-03/records/exp1-result-11.json</x:v>
      </x:c>
    </x:row>
    <x:row r="84" ht="28" customHeight="1">
      <x:c r="A84" s="16" t="str">
        <x:v>px32-g12</x:v>
      </x:c>
      <x:c r="B84" s="17" t="str">
        <x:v>[UNREADABLE]</x:v>
      </x:c>
      <x:c r="C84" s="16" t="str">
        <x:v>exp2-screenshot-f32-g12.png</x:v>
      </x:c>
      <x:c r="E84" s="9" t="n">
        <x:v>3</x:v>
      </x:c>
      <x:c r="F84" s="9" t="n">
        <x:v>12</x:v>
      </x:c>
      <x:c r="G84" s="9" t="n">
        <x:v>48</x:v>
      </x:c>
      <x:c r="H84" s="9" t="n">
        <x:v>90</x:v>
      </x:c>
      <x:c r="I84" s="13" t="n">
        <x:v>0.9</x:v>
      </x:c>
      <x:c r="J84" s="9" t="n">
        <x:v>8</x:v>
      </x:c>
      <x:c r="K84" s="9" t="n">
        <x:v>2</x:v>
      </x:c>
      <x:c r="L84" s="9" t="n">
        <x:v>1</x:v>
      </x:c>
      <x:c r="M84" s="13" t="n">
        <x:v>0.11</x:v>
      </x:c>
      <x:c r="N84" s="9" t="str">
        <x:v>26-10-26/exp1-perplexity/evidence-03/records/exp1-result-12.json</x:v>
      </x:c>
    </x:row>
    <x:row r="85" ht="28" customHeight="1">
      <x:c r="A85" s="16" t="str">
        <x:v>px32-g13</x:v>
      </x:c>
      <x:c r="B85" s="17" t="str">
        <x:v>[UNREADABLE]</x:v>
      </x:c>
      <x:c r="C85" s="16" t="str">
        <x:v>exp2-screenshot-f32-g13.png</x:v>
      </x:c>
      <x:c r="E85" s="9" t="n">
        <x:v>3</x:v>
      </x:c>
      <x:c r="F85" s="9" t="n">
        <x:v>13</x:v>
      </x:c>
      <x:c r="G85" s="9" t="n">
        <x:v>48</x:v>
      </x:c>
      <x:c r="H85" s="9" t="n">
        <x:v>87</x:v>
      </x:c>
      <x:c r="I85" s="13" t="n">
        <x:v>0.87</x:v>
      </x:c>
      <x:c r="J85" s="9" t="n">
        <x:v>11</x:v>
      </x:c>
      <x:c r="K85" s="9" t="n">
        <x:v>2</x:v>
      </x:c>
      <x:c r="L85" s="9" t="n">
        <x:v>1</x:v>
      </x:c>
      <x:c r="M85" s="13" t="n">
        <x:v>0.14</x:v>
      </x:c>
      <x:c r="N85" s="9" t="str">
        <x:v>26-10-26/exp1-perplexity/evidence-03/records/exp1-result-13.json</x:v>
      </x:c>
    </x:row>
    <x:row r="86" ht="28" customHeight="1">
      <x:c r="A86" s="16" t="str">
        <x:v>px32-g14</x:v>
      </x:c>
      <x:c r="B86" s="17" t="str">
        <x:v>[UNREADABLE]</x:v>
      </x:c>
      <x:c r="C86" s="16" t="str">
        <x:v>exp2-screenshot-f32-g14.png</x:v>
      </x:c>
      <x:c r="E86" s="9" t="n">
        <x:v>3</x:v>
      </x:c>
      <x:c r="F86" s="9" t="n">
        <x:v>14</x:v>
      </x:c>
      <x:c r="G86" s="9" t="n">
        <x:v>48</x:v>
      </x:c>
      <x:c r="H86" s="9" t="n">
        <x:v>96</x:v>
      </x:c>
      <x:c r="I86" s="13" t="n">
        <x:v>0.96</x:v>
      </x:c>
      <x:c r="J86" s="9" t="n">
        <x:v>3</x:v>
      </x:c>
      <x:c r="K86" s="9" t="n">
        <x:v>1</x:v>
      </x:c>
      <x:c r="L86" s="9" t="n">
        <x:v>0</x:v>
      </x:c>
      <x:c r="M86" s="13" t="n">
        <x:v>0.04</x:v>
      </x:c>
      <x:c r="N86" s="9" t="str">
        <x:v>26-10-26/exp1-perplexity/evidence-03/records/exp1-result-14.json</x:v>
      </x:c>
    </x:row>
    <x:row r="87" ht="28" customHeight="1">
      <x:c r="A87" s="16" t="str">
        <x:v>px32-g15</x:v>
      </x:c>
      <x:c r="B87" s="17" t="str">
        <x:v>[UNREADABLE]</x:v>
      </x:c>
      <x:c r="C87" s="16" t="str">
        <x:v>exp2-screenshot-f32-g15.png</x:v>
      </x:c>
      <x:c r="E87" s="9" t="n">
        <x:v>3</x:v>
      </x:c>
      <x:c r="F87" s="9" t="n">
        <x:v>15</x:v>
      </x:c>
      <x:c r="G87" s="9" t="n">
        <x:v>48</x:v>
      </x:c>
      <x:c r="H87" s="9" t="n">
        <x:v>94</x:v>
      </x:c>
      <x:c r="I87" s="13" t="n">
        <x:v>0.94</x:v>
      </x:c>
      <x:c r="J87" s="9" t="n">
        <x:v>6</x:v>
      </x:c>
      <x:c r="K87" s="9" t="n">
        <x:v>0</x:v>
      </x:c>
      <x:c r="L87" s="9" t="n">
        <x:v>0</x:v>
      </x:c>
      <x:c r="M87" s="13" t="n">
        <x:v>0.06</x:v>
      </x:c>
      <x:c r="N87" s="9" t="str">
        <x:v>26-10-26/exp1-perplexity/evidence-03/records/exp1-result-15.json</x:v>
      </x:c>
    </x:row>
    <x:row r="88" ht="28" customHeight="1">
      <x:c r="A88" s="16" t="str">
        <x:v>px32-g16</x:v>
      </x:c>
      <x:c r="B88" s="17" t="str">
        <x:v>[UNREADABLE]</x:v>
      </x:c>
      <x:c r="C88" s="16" t="str">
        <x:v>exp2-screenshot-f32-g16.png</x:v>
      </x:c>
      <x:c r="E88" s="9" t="n">
        <x:v>3</x:v>
      </x:c>
      <x:c r="F88" s="9" t="n">
        <x:v>16</x:v>
      </x:c>
      <x:c r="G88" s="9" t="n">
        <x:v>48</x:v>
      </x:c>
      <x:c r="H88" s="9" t="n">
        <x:v>92</x:v>
      </x:c>
      <x:c r="I88" s="13" t="n">
        <x:v>0.92</x:v>
      </x:c>
      <x:c r="J88" s="9" t="n">
        <x:v>7</x:v>
      </x:c>
      <x:c r="K88" s="9" t="n">
        <x:v>1</x:v>
      </x:c>
      <x:c r="L88" s="9" t="n">
        <x:v>1</x:v>
      </x:c>
      <x:c r="M88" s="13" t="n">
        <x:v>0.09</x:v>
      </x:c>
      <x:c r="N88" s="9" t="str">
        <x:v>26-10-26/exp1-perplexity/evidence-03/records/exp1-result-16.json</x:v>
      </x:c>
    </x:row>
    <x:row r="89" ht="28" customHeight="1">
      <x:c r="A89" s="16" t="str">
        <x:v>px32-g17</x:v>
      </x:c>
      <x:c r="B89" s="17" t="str">
        <x:v>[UNREADABLE]</x:v>
      </x:c>
      <x:c r="C89" s="16" t="str">
        <x:v>exp2-screenshot-f32-g17.png</x:v>
      </x:c>
      <x:c r="E89" s="9" t="n">
        <x:v>3</x:v>
      </x:c>
      <x:c r="F89" s="9" t="n">
        <x:v>17</x:v>
      </x:c>
      <x:c r="G89" s="9" t="n">
        <x:v>48</x:v>
      </x:c>
      <x:c r="H89" s="9" t="n">
        <x:v>95</x:v>
      </x:c>
      <x:c r="I89" s="13" t="n">
        <x:v>0.95</x:v>
      </x:c>
      <x:c r="J89" s="9" t="n">
        <x:v>5</x:v>
      </x:c>
      <x:c r="K89" s="9" t="n">
        <x:v>0</x:v>
      </x:c>
      <x:c r="L89" s="9" t="n">
        <x:v>0</x:v>
      </x:c>
      <x:c r="M89" s="13" t="n">
        <x:v>0.05</x:v>
      </x:c>
      <x:c r="N89" s="9" t="str">
        <x:v>26-10-26/exp1-perplexity/evidence-03/records/exp1-result-17.json</x:v>
      </x:c>
    </x:row>
    <x:row r="90" ht="28" customHeight="1">
      <x:c r="A90" s="16" t="str">
        <x:v>px32-g18</x:v>
      </x:c>
      <x:c r="B90" s="17" t="str">
        <x:v>[UNREADABLE]</x:v>
      </x:c>
      <x:c r="C90" s="16" t="str">
        <x:v>exp2-screenshot-f32-g18.png</x:v>
      </x:c>
      <x:c r="E90" s="9" t="n">
        <x:v>3</x:v>
      </x:c>
      <x:c r="F90" s="9" t="n">
        <x:v>18</x:v>
      </x:c>
      <x:c r="G90" s="9" t="n">
        <x:v>48</x:v>
      </x:c>
      <x:c r="H90" s="9" t="n">
        <x:v>95</x:v>
      </x:c>
      <x:c r="I90" s="13" t="n">
        <x:v>0.95</x:v>
      </x:c>
      <x:c r="J90" s="9" t="n">
        <x:v>5</x:v>
      </x:c>
      <x:c r="K90" s="9" t="n">
        <x:v>0</x:v>
      </x:c>
      <x:c r="L90" s="9" t="n">
        <x:v>0</x:v>
      </x:c>
      <x:c r="M90" s="13" t="n">
        <x:v>0.05</x:v>
      </x:c>
      <x:c r="N90" s="9" t="str">
        <x:v>26-10-26/exp1-perplexity/evidence-03/records/exp1-result-18.json</x:v>
      </x:c>
    </x:row>
    <x:row r="91" ht="115" customHeight="1">
      <x:c r="A91" s="16" t="str">
        <x:v>px32-g19</x:v>
      </x:c>
      <x:c r="B91" s="17" t="str">
        <x:v>YGATMYQV[UNK]CLU[UNK]BZOOZ
FZLCFFGRQJXLOITRTGK
FTWUWEULXKMAQLKARP
HPAHTZPJ[UNK]RNKYQYHOSRH
OWECOAHTVWPSPYONNAL</x:v>
      </x:c>
      <x:c r="C91" s="16" t="str">
        <x:v>exp2-screenshot-f32-g19.png</x:v>
      </x:c>
      <x:c r="E91" s="9" t="n">
        <x:v>3</x:v>
      </x:c>
      <x:c r="F91" s="9" t="n">
        <x:v>19</x:v>
      </x:c>
      <x:c r="G91" s="9" t="n">
        <x:v>48</x:v>
      </x:c>
      <x:c r="H91" s="9" t="n">
        <x:v>97</x:v>
      </x:c>
      <x:c r="I91" s="13" t="n">
        <x:v>0.97</x:v>
      </x:c>
      <x:c r="J91" s="9" t="n">
        <x:v>3</x:v>
      </x:c>
      <x:c r="K91" s="9" t="n">
        <x:v>0</x:v>
      </x:c>
      <x:c r="L91" s="9" t="n">
        <x:v>1</x:v>
      </x:c>
      <x:c r="M91" s="13" t="n">
        <x:v>0.04</x:v>
      </x:c>
      <x:c r="N91" s="9" t="str">
        <x:v>26-10-26/exp1-perplexity/evidence-03/records/exp1-result-19.json</x:v>
      </x:c>
    </x:row>
    <x:row r="92" ht="28" customHeight="1">
      <x:c r="A92" s="16" t="str">
        <x:v>px32-g20</x:v>
      </x:c>
      <x:c r="B92" s="17" t="str">
        <x:v>YEATFWYQWCI[UNK]URZOOZ
PQLCFFGRQXXULQTRTGK
FTWLUWELQIXJMAOLKARP
HFAMTZPURZKYQYHOSBH
QWECDAHTVWPSPYONNAL</x:v>
      </x:c>
      <x:c r="C92" s="16" t="str">
        <x:v>exp2-screenshot-f32-g20.png</x:v>
      </x:c>
      <x:c r="E92" s="9" t="n">
        <x:v>3</x:v>
      </x:c>
      <x:c r="F92" s="9" t="n">
        <x:v>20</x:v>
      </x:c>
      <x:c r="G92" s="9" t="n">
        <x:v>48</x:v>
      </x:c>
      <x:c r="H92" s="9" t="n">
        <x:v>92</x:v>
      </x:c>
      <x:c r="I92" s="13" t="n">
        <x:v>0.92</x:v>
      </x:c>
      <x:c r="J92" s="9" t="n">
        <x:v>7</x:v>
      </x:c>
      <x:c r="K92" s="9" t="n">
        <x:v>1</x:v>
      </x:c>
      <x:c r="L92" s="9" t="n">
        <x:v>1</x:v>
      </x:c>
      <x:c r="M92" s="13" t="n">
        <x:v>0.09</x:v>
      </x:c>
      <x:c r="N92" s="9" t="str">
        <x:v>26-10-26/exp1-perplexity/evidence-03/records/exp1-result-20.json</x:v>
      </x:c>
    </x:row>
    <x:row r="93" ht="28" customHeight="1">
      <x:c r="A93" s="16" t="str">
        <x:v>px32-g21</x:v>
      </x:c>
      <x:c r="B93" s="17" t="str">
        <x:v>W[UNK]AT[UNK]VQVNCLUI[UNK]X[UNK]Z
POLCFFGRQXXLGTTRTGK
FTWLUWEU[UNK]C[UNK]MAQLKARP
HP[UNK]HTEZPURENKYQYHQSZH
OWECD[UNK]HTVW[UNK]PSPYQNNAL</x:v>
      </x:c>
      <x:c r="C93" s="16" t="str">
        <x:v>exp2-screenshot-f32-g21.png</x:v>
      </x:c>
      <x:c r="E93" s="9" t="n">
        <x:v>3</x:v>
      </x:c>
      <x:c r="F93" s="9" t="n">
        <x:v>21</x:v>
      </x:c>
      <x:c r="G93" s="9" t="n">
        <x:v>48</x:v>
      </x:c>
      <x:c r="H93" s="9" t="n">
        <x:v>94</x:v>
      </x:c>
      <x:c r="I93" s="13" t="n">
        <x:v>0.94</x:v>
      </x:c>
      <x:c r="J93" s="9" t="n">
        <x:v>5</x:v>
      </x:c>
      <x:c r="K93" s="9" t="n">
        <x:v>1</x:v>
      </x:c>
      <x:c r="L93" s="9" t="n">
        <x:v>1</x:v>
      </x:c>
      <x:c r="M93" s="13" t="n">
        <x:v>0.07</x:v>
      </x:c>
      <x:c r="N93" s="9" t="str">
        <x:v>26-10-26/exp1-perplexity/evidence-03/records/exp1-result-21.json</x:v>
      </x:c>
    </x:row>
    <x:row r="94" ht="28" customHeight="1">
      <x:c r="A94" s="16" t="str">
        <x:v>px32-g22</x:v>
      </x:c>
      <x:c r="B94" s="17" t="str">
        <x:v>WEATFAVQYHICLUI[UNK]ZCVZ
PLCF[UNK]FRQXXLGTTRTGK
FTWUWEUJCIGMAOLKARP
HRRHIEPZURNKYOYHCSZH
OWECDAHTVW[UNK]PSYPONNAL</x:v>
      </x:c>
      <x:c r="C94" s="16" t="str">
        <x:v>exp2-screenshot-f32-g22.png</x:v>
      </x:c>
      <x:c r="E94" s="9" t="n">
        <x:v>3</x:v>
      </x:c>
      <x:c r="F94" s="9" t="n">
        <x:v>22</x:v>
      </x:c>
      <x:c r="G94" s="9" t="n">
        <x:v>48</x:v>
      </x:c>
      <x:c r="H94" s="9" t="n">
        <x:v>95</x:v>
      </x:c>
      <x:c r="I94" s="13" t="n">
        <x:v>0.95</x:v>
      </x:c>
      <x:c r="J94" s="9" t="n">
        <x:v>4</x:v>
      </x:c>
      <x:c r="K94" s="9" t="n">
        <x:v>1</x:v>
      </x:c>
      <x:c r="L94" s="9" t="n">
        <x:v>2</x:v>
      </x:c>
      <x:c r="M94" s="13" t="n">
        <x:v>0.07</x:v>
      </x:c>
      <x:c r="N94" s="9" t="str">
        <x:v>26-10-26/exp1-perplexity/evidence-03/records/exp1-result-22.json</x:v>
      </x:c>
    </x:row>
    <x:row r="95" ht="28" customHeight="1">
      <x:c r="A95" s="16" t="str">
        <x:v>px32-g23</x:v>
      </x:c>
      <x:c r="B95" s="17" t="str">
        <x:v>YEATFAVQVNCLUIRZCXZ
PQLCFFGRQXKLGUTRTGK
FTWUUWEUDIQJMAOUKARP
HPAHTEZPLRNKYQYHCSZH
OWECDAHTVWPPSYPONNAL</x:v>
      </x:c>
      <x:c r="C95" s="16" t="str">
        <x:v>exp2-screenshot-f32-g23.png</x:v>
      </x:c>
      <x:c r="E95" s="9" t="n">
        <x:v>3</x:v>
      </x:c>
      <x:c r="F95" s="9" t="n">
        <x:v>23</x:v>
      </x:c>
      <x:c r="G95" s="9" t="n">
        <x:v>48</x:v>
      </x:c>
      <x:c r="H95" s="9" t="n">
        <x:v>94</x:v>
      </x:c>
      <x:c r="I95" s="13" t="n">
        <x:v>0.94</x:v>
      </x:c>
      <x:c r="J95" s="9" t="n">
        <x:v>4</x:v>
      </x:c>
      <x:c r="K95" s="9" t="n">
        <x:v>2</x:v>
      </x:c>
      <x:c r="L95" s="9" t="n">
        <x:v>3</x:v>
      </x:c>
      <x:c r="M95" s="13" t="n">
        <x:v>0.09</x:v>
      </x:c>
      <x:c r="N95" s="9" t="str">
        <x:v>26-10-26/exp1-perplexity/evidence-03/records/exp1-result-23.json</x:v>
      </x:c>
    </x:row>
    <x:row r="96" ht="28" customHeight="1">
      <x:c r="A96" s="16" t="str">
        <x:v>px32-g24</x:v>
      </x:c>
      <x:c r="B96" s="17" t="str">
        <x:v>WEATEAVOWNCLUIRZC[UNK]Z
POLCFFGRQAXULQTIRTGK
FTWUWEULQXLMAOLKARP
HPAHTEZPURNYQYHOSZH
OWECOAHTVWPSPYIQNNAL</x:v>
      </x:c>
      <x:c r="C96" s="16" t="str">
        <x:v>exp2-screenshot-f32-g24.png</x:v>
      </x:c>
      <x:c r="E96" s="9" t="n">
        <x:v>3</x:v>
      </x:c>
      <x:c r="F96" s="9" t="n">
        <x:v>24</x:v>
      </x:c>
      <x:c r="G96" s="9" t="n">
        <x:v>48</x:v>
      </x:c>
      <x:c r="H96" s="9" t="n">
        <x:v>97</x:v>
      </x:c>
      <x:c r="I96" s="13" t="n">
        <x:v>0.97</x:v>
      </x:c>
      <x:c r="J96" s="9" t="n">
        <x:v>2</x:v>
      </x:c>
      <x:c r="K96" s="9" t="n">
        <x:v>1</x:v>
      </x:c>
      <x:c r="L96" s="9" t="n">
        <x:v>1</x:v>
      </x:c>
      <x:c r="M96" s="13" t="n">
        <x:v>0.04</x:v>
      </x:c>
      <x:c r="N96" s="9" t="str">
        <x:v>26-10-26/exp1-perplexity/evidence-03/records/exp1-result-24.json</x:v>
      </x:c>
    </x:row>
    <x:row r="97" ht="28" customHeight="1">
      <x:c r="A97" s="16" t="str">
        <x:v>px32-g25</x:v>
      </x:c>
      <x:c r="B97" s="17" t="str">
        <x:v>WEATFWY[UNK]WIGLUIRZC[UNK]Z
PQLCFFGRQAXULGTIRTGK
FTWUUWEL[UNK]JC[UNK]AOLKARP
HPAHTEZPLRNNYQYHOSZH
OWECDAHTVNPPSYPQNNAL</x:v>
      </x:c>
      <x:c r="C97" s="16" t="str">
        <x:v>exp2-screenshot-f32-g25.png</x:v>
      </x:c>
      <x:c r="E97" s="9" t="n">
        <x:v>3</x:v>
      </x:c>
      <x:c r="F97" s="9" t="n">
        <x:v>25</x:v>
      </x:c>
      <x:c r="G97" s="9" t="n">
        <x:v>48</x:v>
      </x:c>
      <x:c r="H97" s="9" t="n">
        <x:v>95</x:v>
      </x:c>
      <x:c r="I97" s="13" t="n">
        <x:v>0.95</x:v>
      </x:c>
      <x:c r="J97" s="9" t="n">
        <x:v>4</x:v>
      </x:c>
      <x:c r="K97" s="9" t="n">
        <x:v>1</x:v>
      </x:c>
      <x:c r="L97" s="9" t="n">
        <x:v>2</x:v>
      </x:c>
      <x:c r="M97" s="13" t="n">
        <x:v>0.07</x:v>
      </x:c>
      <x:c r="N97" s="9" t="str">
        <x:v>26-10-26/exp1-perplexity/evidence-03/records/exp1-result-25.json</x:v>
      </x:c>
    </x:row>
    <x:row r="98" ht="28" customHeight="1">
      <x:c r="A98" s="16" t="str">
        <x:v>px32-g26</x:v>
      </x:c>
      <x:c r="B98" s="17" t="str">
        <x:v>WEATFAVOYHGLUIRZC[UNK]Z
PDLCFFGRAXQJLOTIRTGK
FTWLWUELJCIUMAQLKARP
HPAHTEXPLRENKYQYHCSZH
OWECOAHTVNPPSPYQNNAL</x:v>
      </x:c>
      <x:c r="C98" s="16" t="str">
        <x:v>exp2-screenshot-f32-g26.png</x:v>
      </x:c>
      <x:c r="E98" s="9" t="n">
        <x:v>3</x:v>
      </x:c>
      <x:c r="F98" s="9" t="n">
        <x:v>26</x:v>
      </x:c>
      <x:c r="G98" s="9" t="n">
        <x:v>48</x:v>
      </x:c>
      <x:c r="H98" s="9" t="n">
        <x:v>95</x:v>
      </x:c>
      <x:c r="I98" s="13" t="n">
        <x:v>0.95</x:v>
      </x:c>
      <x:c r="J98" s="9" t="n">
        <x:v>5</x:v>
      </x:c>
      <x:c r="K98" s="9" t="n">
        <x:v>0</x:v>
      </x:c>
      <x:c r="L98" s="9" t="n">
        <x:v>1</x:v>
      </x:c>
      <x:c r="M98" s="13" t="n">
        <x:v>0.06</x:v>
      </x:c>
      <x:c r="N98" s="9" t="str">
        <x:v>26-10-26/exp1-perplexity/evidence-03/records/exp1-result-26.json</x:v>
      </x:c>
    </x:row>
    <x:row r="99" ht="28" customHeight="1">
      <x:c r="A99" s="16" t="str">
        <x:v>px32-g27</x:v>
      </x:c>
      <x:c r="B99" s="17" t="str">
        <x:v>WEATFMVQYNGLUIRZC[UNK]Z
PDLCFFCRQAXXLGITRTGK
FTWMLWEUCIXJMAOLKAKP
HPARTEPXUFNKYQYHOSZH
OWECDAHTVNPPSYPNANAL</x:v>
      </x:c>
      <x:c r="C99" s="16" t="str">
        <x:v>exp2-screenshot-f32-g27.png</x:v>
      </x:c>
      <x:c r="E99" s="9" t="n">
        <x:v>3</x:v>
      </x:c>
      <x:c r="F99" s="9" t="n">
        <x:v>27</x:v>
      </x:c>
      <x:c r="G99" s="9" t="n">
        <x:v>48</x:v>
      </x:c>
      <x:c r="H99" s="9" t="n">
        <x:v>96</x:v>
      </x:c>
      <x:c r="I99" s="13" t="n">
        <x:v>0.96</x:v>
      </x:c>
      <x:c r="J99" s="9" t="n">
        <x:v>3</x:v>
      </x:c>
      <x:c r="K99" s="9" t="n">
        <x:v>1</x:v>
      </x:c>
      <x:c r="L99" s="9" t="n">
        <x:v>1</x:v>
      </x:c>
      <x:c r="M99" s="13" t="n">
        <x:v>0.05</x:v>
      </x:c>
      <x:c r="N99" s="9" t="str">
        <x:v>26-10-26/exp1-perplexity/evidence-03/records/exp1-result-27.json</x:v>
      </x:c>
    </x:row>
    <x:row r="100" ht="28" customHeight="1">
      <x:c r="A100" s="16" t="str">
        <x:v>px32-g28</x:v>
      </x:c>
      <x:c r="B100" s="17" t="str">
        <x:v>WEATFMYOVNCLILIRZC[UNK]Z
PDLCFSRQAXXJGTITGK
FTWVLWEUCIXMAOUKARP
HPARTE XPLRNKYQYHOSZH
OWECDAHTVNPPSYPQNNAL</x:v>
      </x:c>
      <x:c r="C100" s="16" t="str">
        <x:v>exp2-screenshot-f32-g28.png</x:v>
      </x:c>
      <x:c r="E100" s="9" t="n">
        <x:v>3</x:v>
      </x:c>
      <x:c r="F100" s="9" t="n">
        <x:v>28</x:v>
      </x:c>
      <x:c r="G100" s="9" t="n">
        <x:v>48</x:v>
      </x:c>
      <x:c r="H100" s="9" t="n">
        <x:v>97</x:v>
      </x:c>
      <x:c r="I100" s="13" t="n">
        <x:v>0.97</x:v>
      </x:c>
      <x:c r="J100" s="9" t="n">
        <x:v>3</x:v>
      </x:c>
      <x:c r="K100" s="9" t="n">
        <x:v>0</x:v>
      </x:c>
      <x:c r="L100" s="9" t="n">
        <x:v>0</x:v>
      </x:c>
      <x:c r="M100" s="13" t="n">
        <x:v>0.03</x:v>
      </x:c>
      <x:c r="N100" s="9" t="str">
        <x:v>26-10-26/exp1-perplexity/evidence-03/records/exp1-result-28.json</x:v>
      </x:c>
    </x:row>
    <x:row r="101" ht="28" customHeight="1">
      <x:c r="A101" s="16" t="str">
        <x:v>px32-g29</x:v>
      </x:c>
      <x:c r="B101" s="17" t="str">
        <x:v>WEATFAVOYHGLUIRZC[UNK]Z
PDLCFFGRDAXXLGITRTGK
PTWLJWEULQKUMAOUKARP
HPAHTEXPLIRNKYQYHOSZH
OWECDAHTVWPPSPYQNNAL</x:v>
      </x:c>
      <x:c r="C101" s="16" t="str">
        <x:v>exp2-screenshot-f32-g29.png</x:v>
      </x:c>
      <x:c r="E101" s="9" t="n">
        <x:v>3</x:v>
      </x:c>
      <x:c r="F101" s="9" t="n">
        <x:v>29</x:v>
      </x:c>
      <x:c r="G101" s="9" t="n">
        <x:v>48</x:v>
      </x:c>
      <x:c r="H101" s="9" t="n">
        <x:v>98</x:v>
      </x:c>
      <x:c r="I101" s="13" t="n">
        <x:v>0.98</x:v>
      </x:c>
      <x:c r="J101" s="9" t="n">
        <x:v>2</x:v>
      </x:c>
      <x:c r="K101" s="9" t="n">
        <x:v>0</x:v>
      </x:c>
      <x:c r="L101" s="9" t="n">
        <x:v>1</x:v>
      </x:c>
      <x:c r="M101" s="13" t="n">
        <x:v>0.03</x:v>
      </x:c>
      <x:c r="N101" s="9" t="str">
        <x:v>26-10-26/exp1-perplexity/evidence-03/records/exp1-result-29.json</x:v>
      </x:c>
    </x:row>
    <x:row r="102" ht="28" customHeight="1">
      <x:c r="A102" s="16" t="str">
        <x:v>px32-g30</x:v>
      </x:c>
      <x:c r="B102" s="17" t="str">
        <x:v>WEATGMVOYNQLUI9ZC0Z
PDLCFGRQAXXLGITRTGK
FTWLJWEUCIXUMAOUKARP
HPAHTEZPURNKYQYHOSZH
OWECDAHTVWPSPYYQNNAL</x:v>
      </x:c>
      <x:c r="C102" s="16" t="str">
        <x:v>exp2-screenshot-f32-g30.png</x:v>
      </x:c>
      <x:c r="E102" s="9" t="n">
        <x:v>3</x:v>
      </x:c>
      <x:c r="F102" s="9" t="n">
        <x:v>30</x:v>
      </x:c>
      <x:c r="G102" s="9" t="n">
        <x:v>48</x:v>
      </x:c>
      <x:c r="H102" s="9" t="n">
        <x:v>96</x:v>
      </x:c>
      <x:c r="I102" s="13" t="n">
        <x:v>0.96</x:v>
      </x:c>
      <x:c r="J102" s="9" t="n">
        <x:v>4</x:v>
      </x:c>
      <x:c r="K102" s="9" t="n">
        <x:v>0</x:v>
      </x:c>
      <x:c r="L102" s="9" t="n">
        <x:v>0</x:v>
      </x:c>
      <x:c r="M102" s="13" t="n">
        <x:v>0.04</x:v>
      </x:c>
      <x:c r="N102" s="9" t="str">
        <x:v>26-10-26/exp1-perplexity/evidence-03/records/exp1-result-30.json</x:v>
      </x:c>
    </x:row>
    <x:row r="103" ht="28" customHeight="1">
      <x:c r="A103" s="16" t="str">
        <x:v>px32-g31</x:v>
      </x:c>
      <x:c r="B103" s="17" t="str">
        <x:v>WEATFMVQYNCJUBZC[UNK]Z
POLCFFGRQAXXLGITRTGK
FTWJLWEULQKUMAOUKARP
HPAHTEXPLRNKYQYHOSZH
OWECDAHTVWPPSYQNNAL</x:v>
      </x:c>
      <x:c r="C103" s="16" t="str">
        <x:v>exp2-screenshot-f32-g31.png</x:v>
      </x:c>
      <x:c r="E103" s="9" t="n">
        <x:v>3</x:v>
      </x:c>
      <x:c r="F103" s="9" t="n">
        <x:v>31</x:v>
      </x:c>
      <x:c r="G103" s="9" t="n">
        <x:v>48</x:v>
      </x:c>
      <x:c r="H103" s="9" t="n">
        <x:v>98</x:v>
      </x:c>
      <x:c r="I103" s="13" t="n">
        <x:v>0.98</x:v>
      </x:c>
      <x:c r="J103" s="9" t="n">
        <x:v>2</x:v>
      </x:c>
      <x:c r="K103" s="9" t="n">
        <x:v>0</x:v>
      </x:c>
      <x:c r="L103" s="9" t="n">
        <x:v>0</x:v>
      </x:c>
      <x:c r="M103" s="13" t="n">
        <x:v>0.02</x:v>
      </x:c>
      <x:c r="N103" s="9" t="str">
        <x:v>26-10-26/exp1-perplexity/evidence-03/records/exp1-result-31.json</x:v>
      </x:c>
    </x:row>
    <x:row r="104" ht="28" customHeight="1">
      <x:c r="A104" s="16" t="str">
        <x:v>px32-g32</x:v>
      </x:c>
      <x:c r="B104" s="17" t="str">
        <x:v>WFATFAVOYHCLILRZC[UNK]Z
PDLCFFGRQAXXLGITRTGK
FTWMLWEULOKUMAOUKARP
HPAHTEXPLRENKYQYHOSZH
OWECDAHTVWPPSYPQNNAL</x:v>
      </x:c>
      <x:c r="C104" s="16" t="str">
        <x:v>exp2-screenshot-f32-g32.png</x:v>
      </x:c>
      <x:c r="E104" s="9" t="n">
        <x:v>3</x:v>
      </x:c>
      <x:c r="F104" s="9" t="n">
        <x:v>32</x:v>
      </x:c>
      <x:c r="G104" s="9" t="n">
        <x:v>48</x:v>
      </x:c>
      <x:c r="H104" s="9" t="n">
        <x:v>98</x:v>
      </x:c>
      <x:c r="I104" s="13" t="n">
        <x:v>0.98</x:v>
      </x:c>
      <x:c r="J104" s="9" t="n">
        <x:v>2</x:v>
      </x:c>
      <x:c r="K104" s="9" t="n">
        <x:v>0</x:v>
      </x:c>
      <x:c r="L104" s="9" t="n">
        <x:v>0</x:v>
      </x:c>
      <x:c r="M104" s="13" t="n">
        <x:v>0.02</x:v>
      </x:c>
      <x:c r="N104" s="9" t="str">
        <x:v>26-10-26/exp1-perplexity/evidence-03/records/exp1-result-32.json</x:v>
      </x:c>
    </x:row>
    <x:row r="105" ht="38" customHeight="1">
      <x:c r="A105" s="16" t="str">
        <x:v>px40-g01</x:v>
      </x:c>
      <x:c r="B105" s="17" t="str">
        <x:v>[UNREADABLE]</x:v>
      </x:c>
      <x:c r="C105" s="16" t="str">
        <x:v>exp2-screenshot-f40-g01.png</x:v>
      </x:c>
    </x:row>
    <x:row r="106" ht="38" customHeight="1">
      <x:c r="A106" s="16" t="str">
        <x:v>px40-g02</x:v>
      </x:c>
      <x:c r="B106" s="17" t="str">
        <x:v>[UNREADABLE]</x:v>
      </x:c>
      <x:c r="C106" s="16" t="str">
        <x:v>exp2-screenshot-f40-g02.png</x:v>
      </x:c>
    </x:row>
    <x:row r="107" ht="38" customHeight="1">
      <x:c r="A107" s="16" t="str">
        <x:v>px40-g03</x:v>
      </x:c>
      <x:c r="B107" s="17" t="str">
        <x:v>[UNREADABLE]</x:v>
      </x:c>
      <x:c r="C107" s="16" t="str">
        <x:v>exp2-screenshot-f40-g03.png</x:v>
      </x:c>
    </x:row>
    <x:row r="108" ht="38" customHeight="1">
      <x:c r="A108" s="16" t="str">
        <x:v>px40-g04</x:v>
      </x:c>
      <x:c r="B108" s="17" t="str">
        <x:v>[UNREADABLE]</x:v>
      </x:c>
      <x:c r="C108" s="16" t="str">
        <x:v>exp2-screenshot-f40-g04.png</x:v>
      </x:c>
    </x:row>
    <x:row r="109" ht="38" customHeight="1">
      <x:c r="A109" s="16" t="str">
        <x:v>px40-g05</x:v>
      </x:c>
      <x:c r="B109" s="17" t="str">
        <x:v>[UNREADABLE]</x:v>
      </x:c>
      <x:c r="C109" s="16" t="str">
        <x:v>exp2-screenshot-f40-g05.png</x:v>
      </x:c>
    </x:row>
    <x:row r="110" ht="38" customHeight="1">
      <x:c r="A110" s="16" t="str">
        <x:v>px40-g06</x:v>
      </x:c>
      <x:c r="B110" s="17" t="str">
        <x:v>[UNREADABLE]</x:v>
      </x:c>
      <x:c r="C110" s="16" t="str">
        <x:v>exp2-screenshot-f40-g06.png</x:v>
      </x:c>
    </x:row>
    <x:row r="111" ht="38" customHeight="1">
      <x:c r="A111" s="16" t="str">
        <x:v>px40-g07</x:v>
      </x:c>
      <x:c r="B111" s="17" t="str">
        <x:v>[UNREADABLE]</x:v>
      </x:c>
      <x:c r="C111" s="16" t="str">
        <x:v>exp2-screenshot-f40-g07.png</x:v>
      </x:c>
    </x:row>
    <x:row r="112" ht="38" customHeight="1">
      <x:c r="A112" s="16" t="str">
        <x:v>px40-g08</x:v>
      </x:c>
      <x:c r="B112" s="17" t="str">
        <x:v>[UNREADABLE]</x:v>
      </x:c>
      <x:c r="C112" s="16" t="str">
        <x:v>exp2-screenshot-f40-g08.png</x:v>
      </x:c>
    </x:row>
    <x:row r="113" ht="38" customHeight="1">
      <x:c r="A113" s="16" t="str">
        <x:v>px40-g09</x:v>
      </x:c>
      <x:c r="B113" s="17" t="str">
        <x:v>[UNREADABLE]</x:v>
      </x:c>
      <x:c r="C113" s="16" t="str">
        <x:v>exp2-screenshot-f40-g09.png</x:v>
      </x:c>
    </x:row>
    <x:row r="114" ht="115" customHeight="1">
      <x:c r="A114" s="16" t="str">
        <x:v>px40-g10</x:v>
      </x:c>
      <x:c r="B114" s="17" t="str">
        <x:v>YBAT[UNK]MW[UNK]YH[UNK]H[UNK]ZC[UNK]Z
DOLC[UNK]FG[UNK]AXXLG[UNK]IRTGX
F[UNK]WL[UNK]WED[UNK]K[UNK]M[UNK]UUA[UNK][UNK]
[UNK]PAHTEX[UNK]R[UNK]NKY[UNK]VH[UNK]S[UNK]H
GWE[UNK]OAHTV[UNK]MP[UNK]Y[UNK]P[UNK]NAL</x:v>
      </x:c>
      <x:c r="C114" s="16" t="str">
        <x:v>exp2-screenshot-f40-g10.png</x:v>
      </x:c>
    </x:row>
    <x:row r="115" ht="115" customHeight="1">
      <x:c r="A115" s="16" t="str">
        <x:v>px40-g11</x:v>
      </x:c>
      <x:c r="B115" s="17" t="str">
        <x:v>Y[UNK]ATRWGY[UNK]CLH[UNK]ZOSZ
POLCTGROAXXLGTRTGX
FTWLDVEDKUMAUUWARP
TPAHTEXPLRNKYYQHOSSH
GWECOAHTVWPPGYPONNAL</x:v>
      </x:c>
      <x:c r="C115" s="16" t="str">
        <x:v>exp2-screenshot-f40-g11.png</x:v>
      </x:c>
    </x:row>
    <x:row r="116" ht="115" customHeight="1">
      <x:c r="A116" s="16" t="str">
        <x:v>px40-g12</x:v>
      </x:c>
      <x:c r="B116" s="17" t="str">
        <x:v>WEATFWUYKOLUIBZCCZ
POLCIFGRQAXXLGTRTGX
FTWIDWELJKIJOAMAUHAF[UNK]
HPHHTEXURNKYOYHDSJH
QWEGOAHTVWPPSYPGNNAL</x:v>
      </x:c>
      <x:c r="C116" s="16" t="str">
        <x:v>exp2-screenshot-f40-g12.png</x:v>
      </x:c>
    </x:row>
    <x:row r="117" ht="115" customHeight="1">
      <x:c r="A117" s="16" t="str">
        <x:v>px40-g13</x:v>
      </x:c>
      <x:c r="B117" s="17" t="str">
        <x:v>NEATFNWQYHQLUIBZGQZ
PQLCFFGIBOAXXLGTLRTGX
FTWDUWELQKCUMXUVIARP
HPAHTEXPURNKYOYHDS[UNK]H
GWEGOAHTVWPPSYPDNKAL</x:v>
      </x:c>
      <x:c r="C117" s="16" t="str">
        <x:v>exp2-screenshot-f40-g13.png</x:v>
      </x:c>
    </x:row>
    <x:row r="118" ht="115" customHeight="1">
      <x:c r="A118" s="16" t="str">
        <x:v>px40-g14</x:v>
      </x:c>
      <x:c r="B118" s="17" t="str">
        <x:v>WEATFMYOYHQLUIB2CQZ
PQLCFGRQAXXLGTIRTGX
FTWIUJWELJRKUMAUUYRP
HPAHTEXFURNKYOVHQSZH
OWECGAHTVWIPSYPQNNAL</x:v>
      </x:c>
      <x:c r="C118" s="16" t="str">
        <x:v>exp2-screenshot-f40-g14.png</x:v>
      </x:c>
    </x:row>
    <x:row r="119" ht="115" customHeight="1">
      <x:c r="A119" s="16" t="str">
        <x:v>px40-g15</x:v>
      </x:c>
      <x:c r="B119" s="17" t="str">
        <x:v>WEATFMWOYHQLUIBZCDZ
IQLCFFGROAXXLGTIRTGX
FTWDIWEIJQKUMAOUK[UNK]R
HPAHTEXPURNKYOYHOSZH
OWECOAHTVWIPSYPQNNAL</x:v>
      </x:c>
      <x:c r="C119" s="16" t="str">
        <x:v>exp2-screenshot-f40-g15.png</x:v>
      </x:c>
    </x:row>
    <x:row r="120" ht="115" customHeight="1">
      <x:c r="A120" s="16" t="str">
        <x:v>px40-g16</x:v>
      </x:c>
      <x:c r="B120" s="17" t="str">
        <x:v>WEATFWOYHCLUIBZCDZ
POLCFFGROAXXLGTIRTGK
FTWUUWEIUKNMADUKARP
HPAHTEXFURNKYOYHOSZH
OWEGDAHTVWIIPSYPDNNAL</x:v>
      </x:c>
      <x:c r="C120" s="16" t="str">
        <x:v>exp2-screenshot-f40-g16.png</x:v>
      </x:c>
    </x:row>
    <x:row r="121" ht="115" customHeight="1">
      <x:c r="A121" s="16" t="str">
        <x:v>px40-g17</x:v>
      </x:c>
      <x:c r="B121" s="17" t="str">
        <x:v>WEATFMQVHCLUIIIZCOZ
PQLCFFRGAXXLGTIRTGX
FTWUUVEIJKMMAUUKARP
HPAHTEXFURNKYQYHOSZH
OWECDAHTVWIPSYPQNNAL</x:v>
      </x:c>
      <x:c r="C121" s="16" t="str">
        <x:v>exp2-screenshot-f40-g17.png</x:v>
      </x:c>
    </x:row>
    <x:row r="122" ht="115" customHeight="1">
      <x:c r="A122" s="16" t="str">
        <x:v>px40-g18</x:v>
      </x:c>
      <x:c r="B122" s="17" t="str">
        <x:v>WEATFMVOYHCLUIEZGDZ
PQLCFFGROAXXLGTIRTGX
FTWUUWEIJDKLMAUURARP
HPAHTEXPLRNKYQVHDSZH
OWECDAHTVWIPSYPQNNAL</x:v>
      </x:c>
      <x:c r="C122" s="16" t="str">
        <x:v>exp2-screenshot-f40-g18.png</x:v>
      </x:c>
    </x:row>
    <x:row r="123" ht="115" customHeight="1">
      <x:c r="A123" s="16" t="str">
        <x:v>px40-g19</x:v>
      </x:c>
      <x:c r="B123" s="17" t="str">
        <x:v>WEATFMVQYHCLUIEZQZ
PQLGFFRGAXXLGTIRTGX
FTWUUWEIJKRUMAUURAKRP
HPAHTEXPURNKYQYHOSZH
OWECDAHTVWIPSYPQNNAL</x:v>
      </x:c>
      <x:c r="C123" s="16" t="str">
        <x:v>exp2-screenshot-f40-g19.png</x:v>
      </x:c>
    </x:row>
    <x:row r="124" ht="115" customHeight="1">
      <x:c r="A124" s="16" t="str">
        <x:v>px40-g20</x:v>
      </x:c>
      <x:c r="B124" s="17" t="str">
        <x:v>WEATFWQYHCLUIEZGDZ
PQLCFFGRQAXXLGTIRTGK
FTWUUWEIJQKUMAUUKARP
HPAHTEXFURNKYQYHOSZH
OWECDAHTVWPSYPONNAL</x:v>
      </x:c>
      <x:c r="C124" s="16" t="str">
        <x:v>exp2-screenshot-f40-g20.png</x:v>
      </x:c>
    </x:row>
    <x:row r="125" ht="115" customHeight="1">
      <x:c r="A125" s="16" t="str">
        <x:v>px40-g21</x:v>
      </x:c>
      <x:c r="B125" s="17" t="str">
        <x:v>NEATFMVOYHCLUIBZODZ
PQLCFFGROAXLGTIRTGK
FTWUUWEIJQKUMAUUKARP
HPAHTEXPLRNIKYQYHOSZH
OWECDAHTVWIPSYPONAL</x:v>
      </x:c>
      <x:c r="C125" s="16" t="str">
        <x:v>exp2-screenshot-f40-g21.png</x:v>
      </x:c>
    </x:row>
    <x:row r="126" ht="115" customHeight="1">
      <x:c r="A126" s="16" t="str">
        <x:v>px40-g22</x:v>
      </x:c>
      <x:c r="B126" s="17" t="str">
        <x:v>WEATFWQYHCLUIEZGQZ
PQLCFFGROAXXLGTIRTGK
FTWUUWEIJQKUMADURARP
HPAHTEXP[UNK]RNIKYQYHOSZH
OWECDAHTVWIPSYPQNNAL</x:v>
      </x:c>
      <x:c r="C126" s="16" t="str">
        <x:v>exp2-screenshot-f40-g22.png</x:v>
      </x:c>
    </x:row>
    <x:row r="127" ht="115" customHeight="1">
      <x:c r="A127" s="16" t="str">
        <x:v>px40-g23</x:v>
      </x:c>
      <x:c r="B127" s="17" t="str">
        <x:v>WEATFMVQYHCLUIEZGDZ
PQLCFFGROAXXLGTIRTGK
FTWUUWEIUKUMAOURARP
HPAHTEXPURNKYQYHOSZH
OWECDAHTVWIPSYPQNNAL</x:v>
      </x:c>
      <x:c r="C127" s="16" t="str">
        <x:v>exp2-screenshot-f40-g23.png</x:v>
      </x:c>
    </x:row>
    <x:row r="128" ht="115" customHeight="1">
      <x:c r="A128" s="16" t="str">
        <x:v>px40-g24</x:v>
      </x:c>
      <x:c r="B128" s="17" t="str">
        <x:v>WEATFMVQYHCLUIEZODZ
PQLCFFGRQAXXLGTIRTGK
FTWUUWEIJQKUMAOURARP
HPAHTEXPURNKYQYHOSZH
OWEGDAHTVWIPSYPQNNAL</x:v>
      </x:c>
      <x:c r="C128" s="16" t="str">
        <x:v>exp2-screenshot-f40-g24.png</x:v>
      </x:c>
    </x:row>
    <x:row r="129" ht="115" customHeight="1">
      <x:c r="A129" s="16" t="str">
        <x:v>px40-g25</x:v>
      </x:c>
      <x:c r="B129" s="17" t="str">
        <x:v>WEATFMVQYHQLUIEZGQZ
PQLCFFGRQAXXLGTIRTGK
FTWUUWEIUKUMAUURARP
HPAHTEXPURNIKYQYHOSZH
OWECDAHTVWIPSYPQNNAL</x:v>
      </x:c>
      <x:c r="C129" s="16" t="str">
        <x:v>exp2-screenshot-f40-g25.png</x:v>
      </x:c>
    </x:row>
    <x:row r="130" ht="115" customHeight="1">
      <x:c r="A130" s="16" t="str">
        <x:v>px40-g26</x:v>
      </x:c>
      <x:c r="B130" s="17" t="str">
        <x:v>WEATFMVQYHQLUIEZGDZ
PQLCFFGRQAXXLGTIRTGK
FTWUUWEIJQKUMAUUKARP
HPAHTEXPURNKYQYHOSZH
OWECDAHTVWIPSYPQNNAL</x:v>
      </x:c>
      <x:c r="C130" s="16" t="str">
        <x:v>exp2-screenshot-f40-g26.png</x:v>
      </x:c>
    </x:row>
    <x:row r="131" ht="115" customHeight="1">
      <x:c r="A131" s="16" t="str">
        <x:v>px40-g27</x:v>
      </x:c>
      <x:c r="B131" s="17" t="str">
        <x:v>WEATFMVQYHCLUIEZCDZ
PQLCFGROAXXLGTIRTGK
FTWUWEIJQKUMAOURARP
HPAHTEXPURNKYQYHOSZH
OWECDAHTVWIPSYPQNNAL</x:v>
      </x:c>
      <x:c r="C131" s="16" t="str">
        <x:v>exp2-screenshot-f40-g27.png</x:v>
      </x:c>
    </x:row>
    <x:row r="132" ht="115" customHeight="1">
      <x:c r="A132" s="16" t="str">
        <x:v>px40-g28</x:v>
      </x:c>
      <x:c r="B132" s="17" t="str">
        <x:v>WEATFMVQXHCLIIEZCOZ
PQLCFFGROAXXLGTIRTGK
FTWUBWEIJQKUMAUUKARP
HPAHTEXPURNKYQYHOSZH
OWECDAHTVWIPSYPQNNAL</x:v>
      </x:c>
      <x:c r="C132" s="16" t="str">
        <x:v>exp2-screenshot-f40-g28.png</x:v>
      </x:c>
    </x:row>
    <x:row r="133" ht="115" customHeight="1">
      <x:c r="A133" s="16" t="str">
        <x:v>px40-g29</x:v>
      </x:c>
      <x:c r="B133" s="17" t="str">
        <x:v>WEATFMVQYHQLIUIEZCDZ
PQLCFFGROAXXLGTIRTGK
FTWUUWEIJQKUMAOURKRP
HPAHTEXPURNKYQYHOSZH
OWECDAHTVWIPSYPQNNAL</x:v>
      </x:c>
      <x:c r="C133" s="16" t="str">
        <x:v>exp2-screenshot-f40-g29.png</x:v>
      </x:c>
    </x:row>
    <x:row r="134" ht="115" customHeight="1">
      <x:c r="A134" s="16" t="str">
        <x:v>px40-g30</x:v>
      </x:c>
      <x:c r="B134" s="17" t="str">
        <x:v>WEATFMVQYHGLIUIEZCDZ
PQLCFFGRQAXXLGTIRTGK
FTWUBWEIJQKUMAOUKARP
HPAHTEXPURNKYQYHOSZH
OWECDAHTVWIPSYPQNNAL</x:v>
      </x:c>
      <x:c r="C134" s="16" t="str">
        <x:v>exp2-screenshot-f40-g30.png</x:v>
      </x:c>
    </x:row>
    <x:row r="135" ht="115" customHeight="1">
      <x:c r="A135" s="16" t="str">
        <x:v>px40-g31</x:v>
      </x:c>
      <x:c r="B135" s="17" t="str">
        <x:v>WEATFMVQYHQLIUIEZCDZ
PQLCFFGRQAXXLGTIRTGK
FTWUUWEIJQKUMAUUKARP
HPAHTEXPURNTYQYHOSZH
OWECDAHTVWIPSYPQNNAL</x:v>
      </x:c>
      <x:c r="C135" s="16" t="str">
        <x:v>exp2-screenshot-f40-g31.png</x:v>
      </x:c>
    </x:row>
    <x:row r="136" ht="115" customHeight="1">
      <x:c r="A136" s="16" t="str">
        <x:v>px40-g32</x:v>
      </x:c>
      <x:c r="B136" s="17" t="str">
        <x:v>WEATFMVQYHGLIUEZCDZ
PQLCFFGRQAXXLGTIRTGK
FTWUIWEIJQKUMIAOUKARP
HPAHTEXPURNKYQYHOSZH
OWECDAHTVWIPSYPQNNAL</x:v>
      </x:c>
      <x:c r="C136" s="16" t="str">
        <x:v>exp2-screenshot-f40-g32.png</x:v>
      </x:c>
    </x:row>
    <x:row r="137" ht="38" customHeight="1">
      <x:c r="A137" s="16" t="str">
        <x:v>px64-g01</x:v>
      </x:c>
      <x:c r="B137" s="17" t="str">
        <x:v>[UNREADABLE]</x:v>
      </x:c>
      <x:c r="C137" s="16" t="str">
        <x:v>exp2-screenshot-f64-g01.png</x:v>
      </x:c>
    </x:row>
    <x:row r="138" ht="38" customHeight="1">
      <x:c r="A138" s="16" t="str">
        <x:v>px64-g02</x:v>
      </x:c>
      <x:c r="B138" s="17" t="str">
        <x:v>[UNREADABLE]</x:v>
      </x:c>
      <x:c r="C138" s="16" t="str">
        <x:v>exp2-screenshot-f64-g02.png</x:v>
      </x:c>
    </x:row>
    <x:row r="139" ht="38" customHeight="1">
      <x:c r="A139" s="16" t="str">
        <x:v>px64-g03</x:v>
      </x:c>
      <x:c r="B139" s="17" t="str">
        <x:v>[UNREADABLE]</x:v>
      </x:c>
      <x:c r="C139" s="16" t="str">
        <x:v>exp2-screenshot-f64-g03.png</x:v>
      </x:c>
    </x:row>
    <x:row r="140" ht="38" customHeight="1">
      <x:c r="A140" s="16" t="str">
        <x:v>px64-g04</x:v>
      </x:c>
      <x:c r="B140" s="17" t="str">
        <x:v>[UNREADABLE]</x:v>
      </x:c>
      <x:c r="C140" s="16" t="str">
        <x:v>exp2-screenshot-f64-g04.png</x:v>
      </x:c>
    </x:row>
    <x:row r="141" ht="115" customHeight="1">
      <x:c r="A141" s="16" t="str">
        <x:v>px64-g05</x:v>
      </x:c>
      <x:c r="B141" s="17" t="str">
        <x:v>WEATTWOVHCLUIBZLDZ
PQLQFFSQAXKIGTIFTSK
ETWLIWIFHOKIIMJOLKARE
HPAHTEXPURNKYOYHOSZH
OWEGDAHTVWPSYPGNNAL</x:v>
      </x:c>
      <x:c r="C141" s="16" t="str">
        <x:v>exp2-screenshot-f64-g05.png</x:v>
      </x:c>
    </x:row>
    <x:row r="142" ht="115" customHeight="1">
      <x:c r="A142" s="16" t="str">
        <x:v>px64-g06</x:v>
      </x:c>
      <x:c r="B142" s="17" t="str">
        <x:v>WEATMVQYHCLUIBZCDZ
RQLOFFGROAXKLGTHEGK
ETWUIWEJQKUMAOIJKARP
HPAHTEXPURNKYOYHOSZH
OWECDAHTVWPPSYPQNNAL</x:v>
      </x:c>
      <x:c r="C142" s="16" t="str">
        <x:v>exp2-screenshot-f64-g06.png</x:v>
      </x:c>
    </x:row>
    <x:row r="143" ht="115" customHeight="1">
      <x:c r="A143" s="16" t="str">
        <x:v>px64-g07</x:v>
      </x:c>
      <x:c r="B143" s="17" t="str">
        <x:v>WEATMVQYHCLIUIBZCDZ
PQLQFFGQAOAXXLGTFITOK
FTWIUWENQKUMAQUKARP
HPAHTEXPURNKYOYHOSZH
OWECOAHTVWPPSYPQNNAL</x:v>
      </x:c>
      <x:c r="C143" s="16" t="str">
        <x:v>exp2-screenshot-f64-g07.png</x:v>
      </x:c>
    </x:row>
    <x:row r="144" ht="115" customHeight="1">
      <x:c r="A144" s="16" t="str">
        <x:v>px64-g08</x:v>
      </x:c>
      <x:c r="B144" s="17" t="str">
        <x:v>WEATFMVQYHCLIUIBZCDZ
PQLCFFGROAXXLGTFRTCK
FTVUUWENQKUMAQUKARPI
HPAHTEXPURNKYCYHOSZH
OWECDAHTWWPPSYPQNNAL</x:v>
      </x:c>
      <x:c r="C144" s="16" t="str">
        <x:v>exp2-screenshot-f64-g08.png</x:v>
      </x:c>
    </x:row>
    <x:row r="145" ht="115" customHeight="1">
      <x:c r="A145" s="16" t="str">
        <x:v>px64-g09</x:v>
      </x:c>
      <x:c r="B145" s="17" t="str">
        <x:v>VEATMVQYHOLIUIB2CDZ
PQLCPFGROAXXLGTPRTCK
FTVUUWEUOKUMAQUKARP
HPAHTEXPURNKYOYHOSZH
OWECOAHTVWPPSYPQNNAL</x:v>
      </x:c>
      <x:c r="C145" s="16" t="str">
        <x:v>exp2-screenshot-f64-g09.png</x:v>
      </x:c>
    </x:row>
    <x:row r="146" ht="115" customHeight="1">
      <x:c r="A146" s="16" t="str">
        <x:v>px64-g10</x:v>
      </x:c>
      <x:c r="B146" s="17" t="str">
        <x:v>WEATFMVQYHCLIUIB2CDZ
PQLCFFGRQAAXXLCTIRTCK
FTVUUWEIJOKUMAQUKARP
HPAHTEXPURNKYOYHOSZH
OWECOAHTVWPPSYPQNNAL</x:v>
      </x:c>
      <x:c r="C146" s="16" t="str">
        <x:v>exp2-screenshot-f64-g10.png</x:v>
      </x:c>
    </x:row>
    <x:row r="147" ht="115" customHeight="1">
      <x:c r="A147" s="16" t="str">
        <x:v>px64-g11</x:v>
      </x:c>
      <x:c r="B147" s="17" t="str">
        <x:v>WEATFMVQYHCLIUIBZCDZ
PQLCFFGRQAXXLGTIRTCK
FTWUIJWEIJQKUMAQUKARP
HPAHTEXPURNKYQYHOSZH
OWECDAHTVWPPSYPQNNAL</x:v>
      </x:c>
      <x:c r="C147" s="16" t="str">
        <x:v>exp2-screenshot-f64-g11.png</x:v>
      </x:c>
    </x:row>
    <x:row r="148" ht="115" customHeight="1">
      <x:c r="A148" s="16" t="str">
        <x:v>px64-g12</x:v>
      </x:c>
      <x:c r="B148" s="17" t="str">
        <x:v>WEATFMVQYHCLIUIB2CDZ
PQLCFFGQRQAXXLGTIRTCK
FTWUJWEIJQKUMAQUKARP
HPAHTEXPURNKYCYHOSZH
OWECDAHTVWPPSYPQNNAL</x:v>
      </x:c>
      <x:c r="C148" s="16" t="str">
        <x:v>exp2-screenshot-f64-g12.png</x:v>
      </x:c>
    </x:row>
    <x:row r="149" ht="115" customHeight="1">
      <x:c r="A149" s="16" t="str">
        <x:v>px64-g13</x:v>
      </x:c>
      <x:c r="B149" s="17" t="str">
        <x:v>WEATFMVQYHCLIUIB2CDZ
PQCLFFGRQAXXLGTIRTCK
FTWUIWEIJQKUMAQUKARP
HPAHTEXPURNKYGYHOSZH
OWECDAHTVWPPSYPQNNAL</x:v>
      </x:c>
      <x:c r="C149" s="16" t="str">
        <x:v>exp2-screenshot-f64-g13.png</x:v>
      </x:c>
    </x:row>
    <x:row r="150" ht="115" customHeight="1">
      <x:c r="A150" s="16" t="str">
        <x:v>px64-g14</x:v>
      </x:c>
      <x:c r="B150" s="17" t="str">
        <x:v>VEATFMVQYHCLIUIB2CDZ
PQLCFFGRQAXXLGTIPTCK
FTWUUWEIJQKUMAQUKARP
HPAHTEXPURNKYQYHOSZH
OWECDAHTWWPPSYPQNNAL</x:v>
      </x:c>
      <x:c r="C150" s="16" t="str">
        <x:v>exp2-screenshot-f64-g14.png</x:v>
      </x:c>
    </x:row>
    <x:row r="151" ht="115" customHeight="1">
      <x:c r="A151" s="16" t="str">
        <x:v>px64-g15</x:v>
      </x:c>
      <x:c r="B151" s="17" t="str">
        <x:v>WEATFMVQYHCLIUIB2CDZ
PQLCFFGRQAXXLG TIFTCK
ETWUUWEIJOKUMAOUKARP
HPAHTEXPURNKYQYHOSZH
OWECDAHTVWPPSYPQNNAL</x:v>
      </x:c>
      <x:c r="C151" s="16" t="str">
        <x:v>exp2-screenshot-f64-g15.png</x:v>
      </x:c>
    </x:row>
    <x:row r="152" ht="115" customHeight="1">
      <x:c r="A152" s="16" t="str">
        <x:v>px64-g16</x:v>
      </x:c>
      <x:c r="B152" s="17" t="str">
        <x:v>VEATFMVQYHCLIUIB2CDZ
PQLCFFGRQAXXLGTIFTCK
FTVUUWEIJQKUMAQUKARP
HPAHTEXPURNKYQYHOSZH
OWECDAHTVWPPSYPQNNAL</x:v>
      </x:c>
      <x:c r="C152" s="16" t="str">
        <x:v>exp2-screenshot-f64-g16.png</x:v>
      </x:c>
    </x:row>
    <x:row r="153" ht="115" customHeight="1">
      <x:c r="A153" s="16" t="str">
        <x:v>px64-g17</x:v>
      </x:c>
      <x:c r="B153" s="17" t="str">
        <x:v>WEATFMVQYHCLIUIB2CDZ
PQLCFFGRQAXXLGTIRTCK
FTVUUWEIJQKUMAQUKARP
HPAHTEXPURNKYQYHOSZH
OWECDAHTVWPPSYPQNNAL</x:v>
      </x:c>
      <x:c r="C153" s="16" t="str">
        <x:v>exp2-screenshot-f64-g17.png</x:v>
      </x:c>
    </x:row>
    <x:row r="154" ht="115" customHeight="1">
      <x:c r="A154" s="16" t="str">
        <x:v>px64-g18</x:v>
      </x:c>
      <x:c r="B154" s="17" t="str">
        <x:v>WEATFMVQYHCLIUIB2CDZ
PQLCFFGRQAXXLGTIRTGK
FTWUUWEIJQKUMAQUKARP
HPAHTEXPURNKYQYHOSZH
OWECDAHTVWPPSYPQNNAL</x:v>
      </x:c>
      <x:c r="C154" s="16" t="str">
        <x:v>exp2-screenshot-f64-g18.png</x:v>
      </x:c>
    </x:row>
    <x:row r="155" ht="115" customHeight="1">
      <x:c r="A155" s="16" t="str">
        <x:v>px64-g19</x:v>
      </x:c>
      <x:c r="B155" s="17" t="str">
        <x:v>WEATFMVQYHCLIUIBZCDZ
PQLCFFGRQAXXLGTIRTCK
FTVUUWEIJOKUMAQUKARP
HPAHTEXPURNKYQYHOSZH
OWECDAHTVWPPSYPQNNAL</x:v>
      </x:c>
      <x:c r="C155" s="16" t="str">
        <x:v>exp2-screenshot-f64-g19.png</x:v>
      </x:c>
    </x:row>
    <x:row r="156" ht="115" customHeight="1">
      <x:c r="A156" s="16" t="str">
        <x:v>px64-g20</x:v>
      </x:c>
      <x:c r="B156" s="17" t="str">
        <x:v>WEATFMVQYHCLIUIBZCDZ
PQLCFFGRQAAXLGTIRTCK
FTWUUWEIJQKUMAQUKARP
HPAHTEXPURNKYQYHOSZH
OWECDAHTVWPPSYPQNNAL</x:v>
      </x:c>
      <x:c r="C156" s="16" t="str">
        <x:v>exp2-screenshot-f64-g20.png</x:v>
      </x:c>
    </x:row>
    <x:row r="157" ht="115" customHeight="1">
      <x:c r="A157" s="16" t="str">
        <x:v>px64-g21</x:v>
      </x:c>
      <x:c r="B157" s="17" t="str">
        <x:v>WEATFMVQYHCLIUIB2CDZ
PQLCFFGRQAXXLGTIRTCK
FTWUUWEIJQKUMAQUKARP
HPAHTEXPURNKYQYHOSZH
OWECDAHTVWPPSYPQNNAL</x:v>
      </x:c>
      <x:c r="C157" s="16" t="str">
        <x:v>exp2-screenshot-f64-g21.png</x:v>
      </x:c>
    </x:row>
    <x:row r="158" ht="115" customHeight="1">
      <x:c r="A158" s="16" t="str">
        <x:v>px64-g22</x:v>
      </x:c>
      <x:c r="B158" s="17" t="str">
        <x:v>WEATFMVQYHCLIUIBZCDZ
PQLCFFGRQAXXLGTIFTGK
FTWUUWEIJQKUMAQUKARP
HPAHTEXPURNKYQYHOSZH
OWECDAHTVWPPSYPQNNAL</x:v>
      </x:c>
      <x:c r="C158" s="16" t="str">
        <x:v>exp2-screenshot-f64-g22.png</x:v>
      </x:c>
    </x:row>
    <x:row r="159" ht="115" customHeight="1">
      <x:c r="A159" s="16" t="str">
        <x:v>px64-g23</x:v>
      </x:c>
      <x:c r="B159" s="17" t="str">
        <x:v>WEATFMVQYHCLIUIB2CDZ
PQLCFFGRQAXXLGTIFTGK
FTWUUWEIJQKUMAQUKARP
HPAHTEXPURNKYQYHOSZH
OWECDAHTVWPPSYPQNNAL</x:v>
      </x:c>
      <x:c r="C159" s="16" t="str">
        <x:v>exp2-screenshot-f64-g23.png</x:v>
      </x:c>
    </x:row>
    <x:row r="160" ht="115" customHeight="1">
      <x:c r="A160" s="16" t="str">
        <x:v>px64-g24</x:v>
      </x:c>
      <x:c r="B160" s="17" t="str">
        <x:v>WEATFMVQYHCLIUIBZCDZ
PQLCFFGRQAXXLGTIFTGK
FTWUIUWEIJQKUMAQUKARP
HPAHTEXPURNKYQYHOSZH
OWECDAHTVWPPSYPQNNAL</x:v>
      </x:c>
      <x:c r="C160" s="16" t="str">
        <x:v>exp2-screenshot-f64-g24.png</x:v>
      </x:c>
    </x:row>
    <x:row r="161" ht="115" customHeight="1">
      <x:c r="A161" s="16" t="str">
        <x:v>px64-g25</x:v>
      </x:c>
      <x:c r="B161" s="17" t="str">
        <x:v>WEATFMVQYHCLIUIBZCDZ
PQLCFFGRQAXXLGTIFTGK
FTWUUWEIJQKUMAQUKARP
HPAHTEXPURNKYQYHOSZH
OWECDAHTVWPPSYPQNNAL</x:v>
      </x:c>
      <x:c r="C161" s="16" t="str">
        <x:v>exp2-screenshot-f64-g25.png</x:v>
      </x:c>
    </x:row>
    <x:row r="162" ht="115" customHeight="1">
      <x:c r="A162" s="16" t="str">
        <x:v>px64-g26</x:v>
      </x:c>
      <x:c r="B162" s="17" t="str">
        <x:v>WEATFMVQYHCLIUIBZCDZ
PQLCEFFGRQAXXLGTTFTGK
FTVUUWEIJQKUMAQUKARP
HPAHTEXPURNKYQYHOSZH
OWECDAHTVWPPSYPQNNAL</x:v>
      </x:c>
      <x:c r="C162" s="16" t="str">
        <x:v>exp2-screenshot-f64-g26.png</x:v>
      </x:c>
    </x:row>
    <x:row r="163" ht="115" customHeight="1">
      <x:c r="A163" s="16" t="str">
        <x:v>px64-g27</x:v>
      </x:c>
      <x:c r="B163" s="17" t="str">
        <x:v>WEATFMVQYHCLIUIBZCDZ
PQLCFFGRQAXXLGTIRTGK
FTVUUWEIJQKUMAQUKARP
HPAHTEXPURNKYQYHOSZH
OWECDAHTVWPPSYPQNNAL</x:v>
      </x:c>
      <x:c r="C163" s="16" t="str">
        <x:v>exp2-screenshot-f64-g27.png</x:v>
      </x:c>
    </x:row>
    <x:row r="164" ht="115" customHeight="1">
      <x:c r="A164" s="16" t="str">
        <x:v>px64-g28</x:v>
      </x:c>
      <x:c r="B164" s="17" t="str">
        <x:v>WEATFMVQYHCLIUIBZCDZ
PQLCEFIGRQAXXLGTIFTGK
FTWUIWEIJOKUMAQUKARP
HPAHTEXPURNKYQYHOSZH
OWECDAHTVWPPSYPQNNAL</x:v>
      </x:c>
      <x:c r="C164" s="16" t="str">
        <x:v>exp2-screenshot-f64-g28.png</x:v>
      </x:c>
    </x:row>
    <x:row r="165" ht="115" customHeight="1">
      <x:c r="A165" s="16" t="str">
        <x:v>px64-g29</x:v>
      </x:c>
      <x:c r="B165" s="17" t="str">
        <x:v>WEATFMVQYHCLIUIBZCDZ
PQLCFFGRQAXXLGTIRTGK
FTVULUWEIJQKUMAQUKARP
HPAHTEXPURNKYQYHOSZH
OWECDAHTVWPPSYPQNNAL</x:v>
      </x:c>
      <x:c r="C165" s="16" t="str">
        <x:v>exp2-screenshot-f64-g29.png</x:v>
      </x:c>
    </x:row>
    <x:row r="166" ht="115" customHeight="1">
      <x:c r="A166" s="16" t="str">
        <x:v>px64-g30</x:v>
      </x:c>
      <x:c r="B166" s="17" t="str">
        <x:v>WEATFMVQYHCLIUIBZCDZ
PQLCFFGRQAXXLGTIRTGK
FTVUUWEIJQKUMAQUKARP
HPAHTEXPURNKYQYHOSZH
OWECDAHTVWPPSYPQNNAL</x:v>
      </x:c>
      <x:c r="C166" s="16" t="str">
        <x:v>exp2-screenshot-f64-g30.png</x:v>
      </x:c>
    </x:row>
    <x:row r="167" ht="115" customHeight="1">
      <x:c r="A167" s="16" t="str">
        <x:v>px64-g31</x:v>
      </x:c>
      <x:c r="B167" s="17" t="str">
        <x:v>WEATFMVQYHCLIUIBZCDZ
PQLCFFGRQAXXLGTIRTGK
ETWUIWEIJQKUMAQUKARP
HPAHTEXPURNKYQYHOSZH
OWECDAHTVWPPSYPQNNAL</x:v>
      </x:c>
      <x:c r="C167" s="16" t="str">
        <x:v>exp2-screenshot-f64-g31.png</x:v>
      </x:c>
    </x:row>
    <x:row r="168" ht="115" customHeight="1">
      <x:c r="A168" s="16" t="str">
        <x:v>px64-g32</x:v>
      </x:c>
      <x:c r="B168" s="17" t="str">
        <x:v>WEATFMVQYHCLIUIBZCDZ
PQLCFFGRQAXXLGTIRTGK
FTWULIWEIJQKUMAQUKARP
HPAHTEXPURNKYQYHOSZH
OWECDAHTVWPPSYPQNNAL</x:v>
      </x:c>
      <x:c r="C168" s="16" t="str">
        <x:v>exp2-screenshot-f64-g32.png</x:v>
      </x:c>
    </x:row>
  </x:sheetData>
  <x:mergeCells>
    <x:mergeCell ref="A2:C2"/>
    <x:mergeCell ref="A3:C3"/>
    <x:mergeCell ref="A7:C7"/>
    <x:mergeCell ref="E2:N2"/>
    <x:mergeCell ref="E3:N3"/>
  </x:mergeCells>
  <x:pageMargins left="0.7" right="0.7" top="0.75" bottom="0.75" header="0.3" footer="0.3"/>
</x:worksheet>
</file>