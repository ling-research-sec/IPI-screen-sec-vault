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b75f12977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结果" sheetId="1" r:id="R108edab6d4ce4936"/>
    <x:sheet xmlns:r="http://schemas.openxmlformats.org/officeDocument/2006/relationships" name="完整回复" sheetId="2" r:id="R16e219b8b222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"/>
    <x:numFmt numFmtId="202" formatCode="0.0%"/>
  </x:numFmts>
  <x:fonts count="5">
    <x:font>
      <x:sz val="11"/>
      <x:name val="Carlito"/>
    </x:font>
    <x:font>
      <x:sz val="11"/>
      <x:color rgb="FF000000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b/>
      <x:sz val="14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</x:fills>
  <x:borders count="2">
    <x:border>
      <x:left/>
      <x:right/>
      <x:top/>
      <x:bottom/>
      <x:diagonal/>
    </x:border>
    <x:border>
      <x:left style="thin">
        <x:color rgb="FFC8C8C8"/>
      </x:left>
      <x:right style="thin">
        <x:color rgb="FFC8C8C8"/>
      </x:right>
      <x:top style="thin">
        <x:color rgb="FFC8C8C8"/>
      </x:top>
      <x:bottom style="thin">
        <x:color rgb="FFC8C8C8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left" vertical="center"/>
    </x:xf>
    <x:xf numFmtId="202" fontId="2" fillId="2" borderId="1" xfId="0" applyNumberFormat="1" applyFont="1" applyFill="1" applyBorder="1" applyAlignment="1">
      <x:alignment horizontal="right" vertical="center"/>
    </x:xf>
    <x:xf numFmtId="202" fontId="2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3" fillId="2" borderId="1" xfId="0" applyNumberFormat="1" applyFont="1" applyFill="1" applyBorder="1"/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5439f5c8a84c11" /><Relationship Type="http://schemas.openxmlformats.org/officeDocument/2006/relationships/theme" Target="/xl/theme/theme1.xml" Id="R01c0350e953a4fc5" /><Relationship Type="http://schemas.openxmlformats.org/officeDocument/2006/relationships/sharedStrings" Target="/xl/sharedStrings.xml" Id="R6d2c13cb1154486c" /><Relationship Type="http://schemas.openxmlformats.org/officeDocument/2006/relationships/worksheet" Target="/xl/worksheets/sheet1.xml" Id="R108edab6d4ce4936" /><Relationship Type="http://schemas.openxmlformats.org/officeDocument/2006/relationships/worksheet" Target="/xl/worksheets/sheet2.xml" Id="R16e219b8b2224425" /></Relationships>
</file>

<file path=xl/tables/table1.xml><?xml version="1.0" encoding="utf-8"?>
<x:table xmlns:x="http://schemas.openxmlformats.org/spreadsheetml/2006/main" id="1" name="ReadabilityResults" displayName="ReadabilityResults" ref="A9:M10" headerRowCount="1" totalsRowCount="0" totalsRowShown="0">
  <x:autoFilter ref="A9:M10"/>
  <x:tableColumns count="13">
    <x:tableColumn id="1" name="条件ID"/>
    <x:tableColumn id="2" name="正确数 /100"/>
    <x:tableColumn id="3" name="正确率"/>
    <x:tableColumn id="4" name="错字"/>
    <x:tableColumn id="5" name="漏字"/>
    <x:tableColumn id="6" name="多字"/>
    <x:tableColumn id="7" name="未知符数"/>
    <x:tableColumn id="8" name="亮度条件"/>
    <x:tableColumn id="9" name="结果及注意事项"/>
    <x:tableColumn id="10" name="字号(px)"/>
    <x:tableColumn id="11" name="灰度差Δg"/>
    <x:tableColumn id="12" name="轮次"/>
    <x:tableColumn id="13" name="C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2d6a2074c746c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3" hidden="0" customWidth="1"/>
    <x:col min="4" max="4" width="9" hidden="0" customWidth="1"/>
    <x:col min="5" max="5" width="9" hidden="0" customWidth="1"/>
    <x:col min="6" max="6" width="9" hidden="0" customWidth="1"/>
    <x:col min="7" max="7" width="12" hidden="0" customWidth="1"/>
    <x:col min="8" max="8" width="20" hidden="0" customWidth="1"/>
    <x:col min="9" max="9" width="22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0" customHeight="1">
      <x:c r="A2" s="23" t="str">
        <x:v>实验二：不同字号与灰度差屏幕转写（第01轮）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O2" t="str">
        <x:v>字号×灰度差比较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O3" t="str">
        <x:v>48px为历史3轮均值；其他字号为本轮单次结果。</x:v>
      </x:c>
    </x:row>
    <x:row r="4">
      <x:c r="A4" s="1" t="str">
        <x:v>平均正确率</x:v>
      </x:c>
      <x:c r="B4" s="2" t="n">
        <x:f>AVERAGE(C10:C10)</x:f>
        <x:v>0</x:v>
      </x:c>
      <x:c r="C4" s="1" t="str">
        <x:v>跨档SD (pp)</x:v>
      </x:c>
      <x:c r="D4" s="3" t="str">
        <x:f>"n.a."</x:f>
        <x:v>n.a.</x:v>
      </x:c>
      <x:c r="E4" s="1" t="str">
        <x:v>图片数</x:v>
      </x:c>
      <x:c r="F4" s="1" t="n">
        <x:f>COUNTA(A10:A10)</x:f>
        <x:v>1</x:v>
      </x:c>
      <x:c r="G4" s="1" t="str">
        <x:v>满分轮次</x:v>
      </x:c>
      <x:c r="H4" s="1" t="n">
        <x:f>COUNTIFS(B10:B10,100,F10:F10,0)</x:f>
        <x:v>0</x:v>
      </x:c>
      <x:c r="I4" s="1"/>
      <x:c r="J4" s="1"/>
      <x:c r="K4" s="1"/>
      <x:c r="L4" s="1"/>
      <x:c r="M4" s="1"/>
      <x:c r="O4" t="str">
        <x:v>新字号无重复测量SD；待测不按0分处理。g1位置存在历史差异。</x:v>
      </x:c>
    </x:row>
    <x:row r="5" ht="24" customHeight="1">
      <x:c r="A5" s="1" t="str">
        <x:v>2026-10-27　每档1次　每图100个目标字符　黑底，100字符，5字号×32灰度，各1次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4" customHeight="1">
      <x:c r="A6" s="1" t="str">
        <x:v>标准差描述跨参数档位差异，不代表同档重复试验误差。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24" customHeight="1">
      <x:c r="A7" s="1" t="str">
        <x:v>新字号单轮；48px仅引用历史三轮均值。跨条件SD不是重复误差。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30" customHeight="1">
      <x:c r="A9" s="22" t="str">
        <x:v>条件ID</x:v>
      </x:c>
      <x:c r="B9" s="22" t="str">
        <x:v>正确数 /100</x:v>
      </x:c>
      <x:c r="C9" s="22" t="str">
        <x:v>正确率</x:v>
      </x:c>
      <x:c r="D9" s="22" t="str">
        <x:v>错字</x:v>
      </x:c>
      <x:c r="E9" s="22" t="str">
        <x:v>漏字</x:v>
      </x:c>
      <x:c r="F9" s="22" t="str">
        <x:v>多字</x:v>
      </x:c>
      <x:c r="G9" s="22" t="str">
        <x:v>未知符数</x:v>
      </x:c>
      <x:c r="H9" s="22" t="str">
        <x:v>亮度条件</x:v>
      </x:c>
      <x:c r="I9" s="22" t="str">
        <x:v>结果及注意事项</x:v>
      </x:c>
      <x:c r="J9" s="22" t="str">
        <x:v>字号(px)</x:v>
      </x:c>
      <x:c r="K9" s="22" t="str">
        <x:v>灰度差Δg</x:v>
      </x:c>
      <x:c r="L9" s="22" t="str">
        <x:v>轮次</x:v>
      </x:c>
      <x:c r="M9" s="22" t="str">
        <x:v>CER</x:v>
      </x:c>
      <x:c r="O9" s="22" t="str">
        <x:v>Δg</x:v>
      </x:c>
      <x:c r="P9" s="22" t="str">
        <x:v>16px (n=1)</x:v>
      </x:c>
      <x:c r="Q9" s="22" t="str">
        <x:v>24px (n=1)</x:v>
      </x:c>
      <x:c r="R9" s="22" t="str">
        <x:v>32px (n=1)</x:v>
      </x:c>
      <x:c r="S9" s="22" t="str">
        <x:v>40px (n=1)</x:v>
      </x:c>
      <x:c r="T9" s="22" t="str">
        <x:v>48px (n=3)</x:v>
      </x:c>
      <x:c r="U9" s="22" t="str">
        <x:v>64px (n=1)</x:v>
      </x:c>
    </x:row>
    <x:row r="10" ht="28" customHeight="1">
      <x:c r="A10" s="10" t="str">
        <x:v>f16-g01</x:v>
      </x:c>
      <x:c r="B10" s="10" t="n">
        <x:v>0</x:v>
      </x:c>
      <x:c r="C10" s="12" t="n">
        <x:f>B10/100</x:f>
        <x:v>0</x:v>
      </x:c>
      <x:c r="D10" s="10" t="n">
        <x:v>0</x:v>
      </x:c>
      <x:c r="E10" s="10" t="n">
        <x:v>100</x:v>
      </x:c>
      <x:c r="F10" s="10" t="n">
        <x:v>0</x:v>
      </x:c>
      <x:c r="G10" s="10" t="n">
        <x:v>0</x:v>
      </x:c>
      <x:c r="H10" s="11" t="str">
        <x:v>最大亮度</x:v>
      </x:c>
      <x:c r="I10" s="11" t="str">
        <x:v>不可读</x:v>
      </x:c>
      <x:c r="J10" s="9" t="n">
        <x:v>16</x:v>
      </x:c>
      <x:c r="K10" s="9" t="n">
        <x:v>1</x:v>
      </x:c>
      <x:c r="L10" s="9" t="n">
        <x:v>1</x:v>
      </x:c>
      <x:c r="M10" s="13" t="n">
        <x:f>(D10+E10+F10)/100</x:f>
        <x:v>1</x:v>
      </x:c>
      <x:c r="O10" s="9" t="n">
        <x:v>1</x:v>
      </x:c>
      <x:c r="P10" s="13" t="n">
        <x:f>IF(COUNTIFS($J$10:$J$10,16,$K$10:$K$10,$O10)=0,"待测",AVERAGEIFS($C$10:$C$10,$J$10:$J$10,16,$K$10:$K$10,$O10))</x:f>
        <x:v>0</x:v>
      </x:c>
      <x:c r="Q10" s="13" t="str">
        <x:f>IF(COUNTIFS($J$10:$J$10,24,$K$10:$K$10,$O10)=0,"待测",AVERAGEIFS($C$10:$C$10,$J$10:$J$10,24,$K$10:$K$10,$O10))</x:f>
        <x:v>待测</x:v>
      </x:c>
      <x:c r="R10" s="13" t="str">
        <x:f>IF(COUNTIFS($J$10:$J$10,32,$K$10:$K$10,$O10)=0,"待测",AVERAGEIFS($C$10:$C$10,$J$10:$J$10,32,$K$10:$K$10,$O10))</x:f>
        <x:v>待测</x:v>
      </x:c>
      <x:c r="S10" s="13" t="str">
        <x:f>IF(COUNTIFS($J$10:$J$10,40,$K$10:$K$10,$O10)=0,"待测",AVERAGEIFS($C$10:$C$10,$J$10:$J$10,40,$K$10:$K$10,$O10))</x:f>
        <x:v>待测</x:v>
      </x:c>
      <x:c r="T10" s="13" t="n">
        <x:f>AVERAGEIFS('完整回复'!$I$9:$I$104,'完整回复'!$F$9:$F$104,$O10)</x:f>
        <x:v>0</x:v>
      </x:c>
      <x:c r="U10" s="13" t="str">
        <x:f>IF(COUNTIFS($J$10:$J$10,64,$K$10:$K$10,$O10)=0,"待测",AVERAGEIFS($C$10:$C$10,$J$10:$J$10,64,$K$10:$K$10,$O10))</x:f>
        <x:v>待测</x:v>
      </x:c>
    </x:row>
    <x:row r="11" ht="28" customHeight="1">
      <x:c r="O11" s="9" t="n">
        <x:v>2</x:v>
      </x:c>
      <x:c r="P11" s="13" t="str">
        <x:f>IF(COUNTIFS($J$10:$J$10,16,$K$10:$K$10,$O11)=0,"待测",AVERAGEIFS($C$10:$C$10,$J$10:$J$10,16,$K$10:$K$10,$O11))</x:f>
        <x:v>待测</x:v>
      </x:c>
      <x:c r="Q11" s="13" t="str">
        <x:f>IF(COUNTIFS($J$10:$J$10,24,$K$10:$K$10,$O11)=0,"待测",AVERAGEIFS($C$10:$C$10,$J$10:$J$10,24,$K$10:$K$10,$O11))</x:f>
        <x:v>待测</x:v>
      </x:c>
      <x:c r="R11" s="13" t="str">
        <x:f>IF(COUNTIFS($J$10:$J$10,32,$K$10:$K$10,$O11)=0,"待测",AVERAGEIFS($C$10:$C$10,$J$10:$J$10,32,$K$10:$K$10,$O11))</x:f>
        <x:v>待测</x:v>
      </x:c>
      <x:c r="S11" s="13" t="str">
        <x:f>IF(COUNTIFS($J$10:$J$10,40,$K$10:$K$10,$O11)=0,"待测",AVERAGEIFS($C$10:$C$10,$J$10:$J$10,40,$K$10:$K$10,$O11))</x:f>
        <x:v>待测</x:v>
      </x:c>
      <x:c r="T11" s="13" t="n">
        <x:f>AVERAGEIFS('完整回复'!$I$9:$I$104,'完整回复'!$F$9:$F$104,$O11)</x:f>
        <x:v>0</x:v>
      </x:c>
      <x:c r="U11" s="13" t="str">
        <x:f>IF(COUNTIFS($J$10:$J$10,64,$K$10:$K$10,$O11)=0,"待测",AVERAGEIFS($C$10:$C$10,$J$10:$J$10,64,$K$10:$K$10,$O11))</x:f>
        <x:v>待测</x:v>
      </x:c>
    </x:row>
    <x:row r="12" ht="28" customHeight="1">
      <x:c r="A12" s="28" t="str">
        <x:v>合计</x:v>
      </x:c>
      <x:c r="B12" s="28" t="n">
        <x:f>SUM(B10:B10)</x:f>
        <x:v>0</x:v>
      </x:c>
      <x:c r="C12" s="29" t="n">
        <x:f>B12/100</x:f>
        <x:v>0</x:v>
      </x:c>
      <x:c r="D12" s="28" t="n">
        <x:f>SUM(D10:D10)</x:f>
        <x:v>0</x:v>
      </x:c>
      <x:c r="E12" s="28" t="n">
        <x:f>SUM(E10:E10)</x:f>
        <x:v>100</x:v>
      </x:c>
      <x:c r="F12" s="28" t="n">
        <x:f>SUM(F10:F10)</x:f>
        <x:v>0</x:v>
      </x:c>
      <x:c r="G12" s="28" t="n">
        <x:f>SUM(G10:G10)</x:f>
        <x:v>0</x:v>
      </x:c>
      <x:c r="H12" s="28"/>
      <x:c r="I12" s="28" t="str">
        <x:v>100个目标字符</x:v>
      </x:c>
      <x:c r="O12" s="9" t="n">
        <x:v>3</x:v>
      </x:c>
      <x:c r="P12" s="13" t="str">
        <x:f>IF(COUNTIFS($J$10:$J$10,16,$K$10:$K$10,$O12)=0,"待测",AVERAGEIFS($C$10:$C$10,$J$10:$J$10,16,$K$10:$K$10,$O12))</x:f>
        <x:v>待测</x:v>
      </x:c>
      <x:c r="Q12" s="13" t="str">
        <x:f>IF(COUNTIFS($J$10:$J$10,24,$K$10:$K$10,$O12)=0,"待测",AVERAGEIFS($C$10:$C$10,$J$10:$J$10,24,$K$10:$K$10,$O12))</x:f>
        <x:v>待测</x:v>
      </x:c>
      <x:c r="R12" s="13" t="str">
        <x:f>IF(COUNTIFS($J$10:$J$10,32,$K$10:$K$10,$O12)=0,"待测",AVERAGEIFS($C$10:$C$10,$J$10:$J$10,32,$K$10:$K$10,$O12))</x:f>
        <x:v>待测</x:v>
      </x:c>
      <x:c r="S12" s="13" t="str">
        <x:f>IF(COUNTIFS($J$10:$J$10,40,$K$10:$K$10,$O12)=0,"待测",AVERAGEIFS($C$10:$C$10,$J$10:$J$10,40,$K$10:$K$10,$O12))</x:f>
        <x:v>待测</x:v>
      </x:c>
      <x:c r="T12" s="13" t="n">
        <x:f>AVERAGEIFS('完整回复'!$I$9:$I$104,'完整回复'!$F$9:$F$104,$O12)</x:f>
        <x:v>0</x:v>
      </x:c>
      <x:c r="U12" s="13" t="str">
        <x:f>IF(COUNTIFS($J$10:$J$10,64,$K$10:$K$10,$O12)=0,"待测",AVERAGEIFS($C$10:$C$10,$J$10:$J$10,64,$K$10:$K$10,$O12))</x:f>
        <x:v>待测</x:v>
      </x:c>
    </x:row>
    <x:row r="13" ht="28" customHeight="1">
      <x:c r="O13" s="9" t="n">
        <x:v>4</x:v>
      </x:c>
      <x:c r="P13" s="13" t="str">
        <x:f>IF(COUNTIFS($J$10:$J$10,16,$K$10:$K$10,$O13)=0,"待测",AVERAGEIFS($C$10:$C$10,$J$10:$J$10,16,$K$10:$K$10,$O13))</x:f>
        <x:v>待测</x:v>
      </x:c>
      <x:c r="Q13" s="13" t="str">
        <x:f>IF(COUNTIFS($J$10:$J$10,24,$K$10:$K$10,$O13)=0,"待测",AVERAGEIFS($C$10:$C$10,$J$10:$J$10,24,$K$10:$K$10,$O13))</x:f>
        <x:v>待测</x:v>
      </x:c>
      <x:c r="R13" s="13" t="str">
        <x:f>IF(COUNTIFS($J$10:$J$10,32,$K$10:$K$10,$O13)=0,"待测",AVERAGEIFS($C$10:$C$10,$J$10:$J$10,32,$K$10:$K$10,$O13))</x:f>
        <x:v>待测</x:v>
      </x:c>
      <x:c r="S13" s="13" t="str">
        <x:f>IF(COUNTIFS($J$10:$J$10,40,$K$10:$K$10,$O13)=0,"待测",AVERAGEIFS($C$10:$C$10,$J$10:$J$10,40,$K$10:$K$10,$O13))</x:f>
        <x:v>待测</x:v>
      </x:c>
      <x:c r="T13" s="13" t="n">
        <x:f>AVERAGEIFS('完整回复'!$I$9:$I$104,'完整回复'!$F$9:$F$104,$O13)</x:f>
        <x:v>0</x:v>
      </x:c>
      <x:c r="U13" s="13" t="str">
        <x:f>IF(COUNTIFS($J$10:$J$10,64,$K$10:$K$10,$O13)=0,"待测",AVERAGEIFS($C$10:$C$10,$J$10:$J$10,64,$K$10:$K$10,$O13))</x:f>
        <x:v>待测</x:v>
      </x:c>
    </x:row>
    <x:row r="14" ht="28" customHeight="1">
      <x:c r="A14" s="1" t="str">
        <x:v>错字=替换；漏字=删除；多字=插入。[UNK]视为1个未知字符，[UNREADABLE]视为空转写。</x:v>
      </x:c>
      <x:c r="B14" s="1"/>
      <x:c r="C14" s="1"/>
      <x:c r="D14" s="1"/>
      <x:c r="E14" s="1"/>
      <x:c r="F14" s="1"/>
      <x:c r="G14" s="1"/>
      <x:c r="H14" s="1"/>
      <x:c r="I14" s="1"/>
      <x:c r="O14" s="9" t="n">
        <x:v>5</x:v>
      </x:c>
      <x:c r="P14" s="13" t="str">
        <x:f>IF(COUNTIFS($J$10:$J$10,16,$K$10:$K$10,$O14)=0,"待测",AVERAGEIFS($C$10:$C$10,$J$10:$J$10,16,$K$10:$K$10,$O14))</x:f>
        <x:v>待测</x:v>
      </x:c>
      <x:c r="Q14" s="13" t="str">
        <x:f>IF(COUNTIFS($J$10:$J$10,24,$K$10:$K$10,$O14)=0,"待测",AVERAGEIFS($C$10:$C$10,$J$10:$J$10,24,$K$10:$K$10,$O14))</x:f>
        <x:v>待测</x:v>
      </x:c>
      <x:c r="R14" s="13" t="str">
        <x:f>IF(COUNTIFS($J$10:$J$10,32,$K$10:$K$10,$O14)=0,"待测",AVERAGEIFS($C$10:$C$10,$J$10:$J$10,32,$K$10:$K$10,$O14))</x:f>
        <x:v>待测</x:v>
      </x:c>
      <x:c r="S14" s="13" t="str">
        <x:f>IF(COUNTIFS($J$10:$J$10,40,$K$10:$K$10,$O14)=0,"待测",AVERAGEIFS($C$10:$C$10,$J$10:$J$10,40,$K$10:$K$10,$O14))</x:f>
        <x:v>待测</x:v>
      </x:c>
      <x:c r="T14" s="13" t="n">
        <x:f>AVERAGEIFS('完整回复'!$I$9:$I$104,'完整回复'!$F$9:$F$104,$O14)</x:f>
        <x:v>0</x:v>
      </x:c>
      <x:c r="U14" s="13" t="str">
        <x:f>IF(COUNTIFS($J$10:$J$10,64,$K$10:$K$10,$O14)=0,"待测",AVERAGEIFS($C$10:$C$10,$J$10:$J$10,64,$K$10:$K$10,$O14))</x:f>
        <x:v>待测</x:v>
      </x:c>
    </x:row>
    <x:row r="15" ht="28" customHeight="1">
      <x:c r="A15" s="1" t="str">
        <x:v>原始回复、截图与记录分别保存在 evidence-01，不同轮次不互相覆盖。</x:v>
      </x:c>
      <x:c r="B15" s="1"/>
      <x:c r="C15" s="1"/>
      <x:c r="D15" s="1"/>
      <x:c r="E15" s="1"/>
      <x:c r="F15" s="1"/>
      <x:c r="G15" s="1"/>
      <x:c r="H15" s="1"/>
      <x:c r="I15" s="1"/>
      <x:c r="O15" s="9" t="n">
        <x:v>6</x:v>
      </x:c>
      <x:c r="P15" s="13" t="str">
        <x:f>IF(COUNTIFS($J$10:$J$10,16,$K$10:$K$10,$O15)=0,"待测",AVERAGEIFS($C$10:$C$10,$J$10:$J$10,16,$K$10:$K$10,$O15))</x:f>
        <x:v>待测</x:v>
      </x:c>
      <x:c r="Q15" s="13" t="str">
        <x:f>IF(COUNTIFS($J$10:$J$10,24,$K$10:$K$10,$O15)=0,"待测",AVERAGEIFS($C$10:$C$10,$J$10:$J$10,24,$K$10:$K$10,$O15))</x:f>
        <x:v>待测</x:v>
      </x:c>
      <x:c r="R15" s="13" t="str">
        <x:f>IF(COUNTIFS($J$10:$J$10,32,$K$10:$K$10,$O15)=0,"待测",AVERAGEIFS($C$10:$C$10,$J$10:$J$10,32,$K$10:$K$10,$O15))</x:f>
        <x:v>待测</x:v>
      </x:c>
      <x:c r="S15" s="13" t="str">
        <x:f>IF(COUNTIFS($J$10:$J$10,40,$K$10:$K$10,$O15)=0,"待测",AVERAGEIFS($C$10:$C$10,$J$10:$J$10,40,$K$10:$K$10,$O15))</x:f>
        <x:v>待测</x:v>
      </x:c>
      <x:c r="T15" s="13" t="n">
        <x:f>AVERAGEIFS('完整回复'!$I$9:$I$104,'完整回复'!$F$9:$F$104,$O15)</x:f>
        <x:v>0.19333333333333336</x:v>
      </x:c>
      <x:c r="U15" s="13" t="str">
        <x:f>IF(COUNTIFS($J$10:$J$10,64,$K$10:$K$10,$O15)=0,"待测",AVERAGEIFS($C$10:$C$10,$J$10:$J$10,64,$K$10:$K$10,$O15))</x:f>
        <x:v>待测</x:v>
      </x:c>
    </x:row>
    <x:row r="16" ht="28" customHeight="1">
      <x:c r="O16" s="9" t="n">
        <x:v>7</x:v>
      </x:c>
      <x:c r="P16" s="13" t="str">
        <x:f>IF(COUNTIFS($J$10:$J$10,16,$K$10:$K$10,$O16)=0,"待测",AVERAGEIFS($C$10:$C$10,$J$10:$J$10,16,$K$10:$K$10,$O16))</x:f>
        <x:v>待测</x:v>
      </x:c>
      <x:c r="Q16" s="13" t="str">
        <x:f>IF(COUNTIFS($J$10:$J$10,24,$K$10:$K$10,$O16)=0,"待测",AVERAGEIFS($C$10:$C$10,$J$10:$J$10,24,$K$10:$K$10,$O16))</x:f>
        <x:v>待测</x:v>
      </x:c>
      <x:c r="R16" s="13" t="str">
        <x:f>IF(COUNTIFS($J$10:$J$10,32,$K$10:$K$10,$O16)=0,"待测",AVERAGEIFS($C$10:$C$10,$J$10:$J$10,32,$K$10:$K$10,$O16))</x:f>
        <x:v>待测</x:v>
      </x:c>
      <x:c r="S16" s="13" t="str">
        <x:f>IF(COUNTIFS($J$10:$J$10,40,$K$10:$K$10,$O16)=0,"待测",AVERAGEIFS($C$10:$C$10,$J$10:$J$10,40,$K$10:$K$10,$O16))</x:f>
        <x:v>待测</x:v>
      </x:c>
      <x:c r="T16" s="13" t="n">
        <x:f>AVERAGEIFS('完整回复'!$I$9:$I$104,'完整回复'!$F$9:$F$104,$O16)</x:f>
        <x:v>0.21333333333333335</x:v>
      </x:c>
      <x:c r="U16" s="13" t="str">
        <x:f>IF(COUNTIFS($J$10:$J$10,64,$K$10:$K$10,$O16)=0,"待测",AVERAGEIFS($C$10:$C$10,$J$10:$J$10,64,$K$10:$K$10,$O16))</x:f>
        <x:v>待测</x:v>
      </x:c>
    </x:row>
    <x:row r="17" ht="28" customHeight="1">
      <x:c r="O17" s="9" t="n">
        <x:v>8</x:v>
      </x:c>
      <x:c r="P17" s="13" t="str">
        <x:f>IF(COUNTIFS($J$10:$J$10,16,$K$10:$K$10,$O17)=0,"待测",AVERAGEIFS($C$10:$C$10,$J$10:$J$10,16,$K$10:$K$10,$O17))</x:f>
        <x:v>待测</x:v>
      </x:c>
      <x:c r="Q17" s="13" t="str">
        <x:f>IF(COUNTIFS($J$10:$J$10,24,$K$10:$K$10,$O17)=0,"待测",AVERAGEIFS($C$10:$C$10,$J$10:$J$10,24,$K$10:$K$10,$O17))</x:f>
        <x:v>待测</x:v>
      </x:c>
      <x:c r="R17" s="13" t="str">
        <x:f>IF(COUNTIFS($J$10:$J$10,32,$K$10:$K$10,$O17)=0,"待测",AVERAGEIFS($C$10:$C$10,$J$10:$J$10,32,$K$10:$K$10,$O17))</x:f>
        <x:v>待测</x:v>
      </x:c>
      <x:c r="S17" s="13" t="str">
        <x:f>IF(COUNTIFS($J$10:$J$10,40,$K$10:$K$10,$O17)=0,"待测",AVERAGEIFS($C$10:$C$10,$J$10:$J$10,40,$K$10:$K$10,$O17))</x:f>
        <x:v>待测</x:v>
      </x:c>
      <x:c r="T17" s="13" t="n">
        <x:f>AVERAGEIFS('完整回复'!$I$9:$I$104,'完整回复'!$F$9:$F$104,$O17)</x:f>
        <x:v>0.7366666666666667</x:v>
      </x:c>
      <x:c r="U17" s="13" t="str">
        <x:f>IF(COUNTIFS($J$10:$J$10,64,$K$10:$K$10,$O17)=0,"待测",AVERAGEIFS($C$10:$C$10,$J$10:$J$10,64,$K$10:$K$10,$O17))</x:f>
        <x:v>待测</x:v>
      </x:c>
    </x:row>
    <x:row r="18" ht="28" customHeight="1">
      <x:c r="O18" s="9" t="n">
        <x:v>9</x:v>
      </x:c>
      <x:c r="P18" s="13" t="str">
        <x:f>IF(COUNTIFS($J$10:$J$10,16,$K$10:$K$10,$O18)=0,"待测",AVERAGEIFS($C$10:$C$10,$J$10:$J$10,16,$K$10:$K$10,$O18))</x:f>
        <x:v>待测</x:v>
      </x:c>
      <x:c r="Q18" s="13" t="str">
        <x:f>IF(COUNTIFS($J$10:$J$10,24,$K$10:$K$10,$O18)=0,"待测",AVERAGEIFS($C$10:$C$10,$J$10:$J$10,24,$K$10:$K$10,$O18))</x:f>
        <x:v>待测</x:v>
      </x:c>
      <x:c r="R18" s="13" t="str">
        <x:f>IF(COUNTIFS($J$10:$J$10,32,$K$10:$K$10,$O18)=0,"待测",AVERAGEIFS($C$10:$C$10,$J$10:$J$10,32,$K$10:$K$10,$O18))</x:f>
        <x:v>待测</x:v>
      </x:c>
      <x:c r="S18" s="13" t="str">
        <x:f>IF(COUNTIFS($J$10:$J$10,40,$K$10:$K$10,$O18)=0,"待测",AVERAGEIFS($C$10:$C$10,$J$10:$J$10,40,$K$10:$K$10,$O18))</x:f>
        <x:v>待测</x:v>
      </x:c>
      <x:c r="T18" s="13" t="n">
        <x:f>AVERAGEIFS('完整回复'!$I$9:$I$104,'完整回复'!$F$9:$F$104,$O18)</x:f>
        <x:v>0.7366666666666667</x:v>
      </x:c>
      <x:c r="U18" s="13" t="str">
        <x:f>IF(COUNTIFS($J$10:$J$10,64,$K$10:$K$10,$O18)=0,"待测",AVERAGEIFS($C$10:$C$10,$J$10:$J$10,64,$K$10:$K$10,$O18))</x:f>
        <x:v>待测</x:v>
      </x:c>
    </x:row>
    <x:row r="19" ht="28" customHeight="1">
      <x:c r="O19" s="9" t="n">
        <x:v>10</x:v>
      </x:c>
      <x:c r="P19" s="13" t="str">
        <x:f>IF(COUNTIFS($J$10:$J$10,16,$K$10:$K$10,$O19)=0,"待测",AVERAGEIFS($C$10:$C$10,$J$10:$J$10,16,$K$10:$K$10,$O19))</x:f>
        <x:v>待测</x:v>
      </x:c>
      <x:c r="Q19" s="13" t="str">
        <x:f>IF(COUNTIFS($J$10:$J$10,24,$K$10:$K$10,$O19)=0,"待测",AVERAGEIFS($C$10:$C$10,$J$10:$J$10,24,$K$10:$K$10,$O19))</x:f>
        <x:v>待测</x:v>
      </x:c>
      <x:c r="R19" s="13" t="str">
        <x:f>IF(COUNTIFS($J$10:$J$10,32,$K$10:$K$10,$O19)=0,"待测",AVERAGEIFS($C$10:$C$10,$J$10:$J$10,32,$K$10:$K$10,$O19))</x:f>
        <x:v>待测</x:v>
      </x:c>
      <x:c r="S19" s="13" t="str">
        <x:f>IF(COUNTIFS($J$10:$J$10,40,$K$10:$K$10,$O19)=0,"待测",AVERAGEIFS($C$10:$C$10,$J$10:$J$10,40,$K$10:$K$10,$O19))</x:f>
        <x:v>待测</x:v>
      </x:c>
      <x:c r="T19" s="13" t="n">
        <x:f>AVERAGEIFS('完整回复'!$I$9:$I$104,'完整回复'!$F$9:$F$104,$O19)</x:f>
        <x:v>0.8433333333333334</x:v>
      </x:c>
      <x:c r="U19" s="13" t="str">
        <x:f>IF(COUNTIFS($J$10:$J$10,64,$K$10:$K$10,$O19)=0,"待测",AVERAGEIFS($C$10:$C$10,$J$10:$J$10,64,$K$10:$K$10,$O19))</x:f>
        <x:v>待测</x:v>
      </x:c>
    </x:row>
    <x:row r="20" ht="28" customHeight="1">
      <x:c r="O20" s="9" t="n">
        <x:v>11</x:v>
      </x:c>
      <x:c r="P20" s="13" t="str">
        <x:f>IF(COUNTIFS($J$10:$J$10,16,$K$10:$K$10,$O20)=0,"待测",AVERAGEIFS($C$10:$C$10,$J$10:$J$10,16,$K$10:$K$10,$O20))</x:f>
        <x:v>待测</x:v>
      </x:c>
      <x:c r="Q20" s="13" t="str">
        <x:f>IF(COUNTIFS($J$10:$J$10,24,$K$10:$K$10,$O20)=0,"待测",AVERAGEIFS($C$10:$C$10,$J$10:$J$10,24,$K$10:$K$10,$O20))</x:f>
        <x:v>待测</x:v>
      </x:c>
      <x:c r="R20" s="13" t="str">
        <x:f>IF(COUNTIFS($J$10:$J$10,32,$K$10:$K$10,$O20)=0,"待测",AVERAGEIFS($C$10:$C$10,$J$10:$J$10,32,$K$10:$K$10,$O20))</x:f>
        <x:v>待测</x:v>
      </x:c>
      <x:c r="S20" s="13" t="str">
        <x:f>IF(COUNTIFS($J$10:$J$10,40,$K$10:$K$10,$O20)=0,"待测",AVERAGEIFS($C$10:$C$10,$J$10:$J$10,40,$K$10:$K$10,$O20))</x:f>
        <x:v>待测</x:v>
      </x:c>
      <x:c r="T20" s="13" t="n">
        <x:f>AVERAGEIFS('完整回复'!$I$9:$I$104,'完整回复'!$F$9:$F$104,$O20)</x:f>
        <x:v>0.9033333333333333</x:v>
      </x:c>
      <x:c r="U20" s="13" t="str">
        <x:f>IF(COUNTIFS($J$10:$J$10,64,$K$10:$K$10,$O20)=0,"待测",AVERAGEIFS($C$10:$C$10,$J$10:$J$10,64,$K$10:$K$10,$O20))</x:f>
        <x:v>待测</x:v>
      </x:c>
    </x:row>
    <x:row r="21" ht="28" customHeight="1">
      <x:c r="O21" s="9" t="n">
        <x:v>12</x:v>
      </x:c>
      <x:c r="P21" s="13" t="str">
        <x:f>IF(COUNTIFS($J$10:$J$10,16,$K$10:$K$10,$O21)=0,"待测",AVERAGEIFS($C$10:$C$10,$J$10:$J$10,16,$K$10:$K$10,$O21))</x:f>
        <x:v>待测</x:v>
      </x:c>
      <x:c r="Q21" s="13" t="str">
        <x:f>IF(COUNTIFS($J$10:$J$10,24,$K$10:$K$10,$O21)=0,"待测",AVERAGEIFS($C$10:$C$10,$J$10:$J$10,24,$K$10:$K$10,$O21))</x:f>
        <x:v>待测</x:v>
      </x:c>
      <x:c r="R21" s="13" t="str">
        <x:f>IF(COUNTIFS($J$10:$J$10,32,$K$10:$K$10,$O21)=0,"待测",AVERAGEIFS($C$10:$C$10,$J$10:$J$10,32,$K$10:$K$10,$O21))</x:f>
        <x:v>待测</x:v>
      </x:c>
      <x:c r="S21" s="13" t="str">
        <x:f>IF(COUNTIFS($J$10:$J$10,40,$K$10:$K$10,$O21)=0,"待测",AVERAGEIFS($C$10:$C$10,$J$10:$J$10,40,$K$10:$K$10,$O21))</x:f>
        <x:v>待测</x:v>
      </x:c>
      <x:c r="T21" s="13" t="n">
        <x:f>AVERAGEIFS('完整回复'!$I$9:$I$104,'完整回复'!$F$9:$F$104,$O21)</x:f>
        <x:v>0.9</x:v>
      </x:c>
      <x:c r="U21" s="13" t="str">
        <x:f>IF(COUNTIFS($J$10:$J$10,64,$K$10:$K$10,$O21)=0,"待测",AVERAGEIFS($C$10:$C$10,$J$10:$J$10,64,$K$10:$K$10,$O21))</x:f>
        <x:v>待测</x:v>
      </x:c>
    </x:row>
    <x:row r="22" ht="28" customHeight="1">
      <x:c r="O22" s="9" t="n">
        <x:v>13</x:v>
      </x:c>
      <x:c r="P22" s="13" t="str">
        <x:f>IF(COUNTIFS($J$10:$J$10,16,$K$10:$K$10,$O22)=0,"待测",AVERAGEIFS($C$10:$C$10,$J$10:$J$10,16,$K$10:$K$10,$O22))</x:f>
        <x:v>待测</x:v>
      </x:c>
      <x:c r="Q22" s="13" t="str">
        <x:f>IF(COUNTIFS($J$10:$J$10,24,$K$10:$K$10,$O22)=0,"待测",AVERAGEIFS($C$10:$C$10,$J$10:$J$10,24,$K$10:$K$10,$O22))</x:f>
        <x:v>待测</x:v>
      </x:c>
      <x:c r="R22" s="13" t="str">
        <x:f>IF(COUNTIFS($J$10:$J$10,32,$K$10:$K$10,$O22)=0,"待测",AVERAGEIFS($C$10:$C$10,$J$10:$J$10,32,$K$10:$K$10,$O22))</x:f>
        <x:v>待测</x:v>
      </x:c>
      <x:c r="S22" s="13" t="str">
        <x:f>IF(COUNTIFS($J$10:$J$10,40,$K$10:$K$10,$O22)=0,"待测",AVERAGEIFS($C$10:$C$10,$J$10:$J$10,40,$K$10:$K$10,$O22))</x:f>
        <x:v>待测</x:v>
      </x:c>
      <x:c r="T22" s="13" t="n">
        <x:f>AVERAGEIFS('完整回复'!$I$9:$I$104,'完整回复'!$F$9:$F$104,$O22)</x:f>
        <x:v>0.89</x:v>
      </x:c>
      <x:c r="U22" s="13" t="str">
        <x:f>IF(COUNTIFS($J$10:$J$10,64,$K$10:$K$10,$O22)=0,"待测",AVERAGEIFS($C$10:$C$10,$J$10:$J$10,64,$K$10:$K$10,$O22))</x:f>
        <x:v>待测</x:v>
      </x:c>
    </x:row>
    <x:row r="23" ht="28" customHeight="1">
      <x:c r="O23" s="9" t="n">
        <x:v>14</x:v>
      </x:c>
      <x:c r="P23" s="13" t="str">
        <x:f>IF(COUNTIFS($J$10:$J$10,16,$K$10:$K$10,$O23)=0,"待测",AVERAGEIFS($C$10:$C$10,$J$10:$J$10,16,$K$10:$K$10,$O23))</x:f>
        <x:v>待测</x:v>
      </x:c>
      <x:c r="Q23" s="13" t="str">
        <x:f>IF(COUNTIFS($J$10:$J$10,24,$K$10:$K$10,$O23)=0,"待测",AVERAGEIFS($C$10:$C$10,$J$10:$J$10,24,$K$10:$K$10,$O23))</x:f>
        <x:v>待测</x:v>
      </x:c>
      <x:c r="R23" s="13" t="str">
        <x:f>IF(COUNTIFS($J$10:$J$10,32,$K$10:$K$10,$O23)=0,"待测",AVERAGEIFS($C$10:$C$10,$J$10:$J$10,32,$K$10:$K$10,$O23))</x:f>
        <x:v>待测</x:v>
      </x:c>
      <x:c r="S23" s="13" t="str">
        <x:f>IF(COUNTIFS($J$10:$J$10,40,$K$10:$K$10,$O23)=0,"待测",AVERAGEIFS($C$10:$C$10,$J$10:$J$10,40,$K$10:$K$10,$O23))</x:f>
        <x:v>待测</x:v>
      </x:c>
      <x:c r="T23" s="13" t="n">
        <x:f>AVERAGEIFS('完整回复'!$I$9:$I$104,'完整回复'!$F$9:$F$104,$O23)</x:f>
        <x:v>0.9499999999999998</x:v>
      </x:c>
      <x:c r="U23" s="13" t="str">
        <x:f>IF(COUNTIFS($J$10:$J$10,64,$K$10:$K$10,$O23)=0,"待测",AVERAGEIFS($C$10:$C$10,$J$10:$J$10,64,$K$10:$K$10,$O23))</x:f>
        <x:v>待测</x:v>
      </x:c>
    </x:row>
    <x:row r="24" ht="28" customHeight="1">
      <x:c r="O24" s="9" t="n">
        <x:v>15</x:v>
      </x:c>
      <x:c r="P24" s="13" t="str">
        <x:f>IF(COUNTIFS($J$10:$J$10,16,$K$10:$K$10,$O24)=0,"待测",AVERAGEIFS($C$10:$C$10,$J$10:$J$10,16,$K$10:$K$10,$O24))</x:f>
        <x:v>待测</x:v>
      </x:c>
      <x:c r="Q24" s="13" t="str">
        <x:f>IF(COUNTIFS($J$10:$J$10,24,$K$10:$K$10,$O24)=0,"待测",AVERAGEIFS($C$10:$C$10,$J$10:$J$10,24,$K$10:$K$10,$O24))</x:f>
        <x:v>待测</x:v>
      </x:c>
      <x:c r="R24" s="13" t="str">
        <x:f>IF(COUNTIFS($J$10:$J$10,32,$K$10:$K$10,$O24)=0,"待测",AVERAGEIFS($C$10:$C$10,$J$10:$J$10,32,$K$10:$K$10,$O24))</x:f>
        <x:v>待测</x:v>
      </x:c>
      <x:c r="S24" s="13" t="str">
        <x:f>IF(COUNTIFS($J$10:$J$10,40,$K$10:$K$10,$O24)=0,"待测",AVERAGEIFS($C$10:$C$10,$J$10:$J$10,40,$K$10:$K$10,$O24))</x:f>
        <x:v>待测</x:v>
      </x:c>
      <x:c r="T24" s="13" t="n">
        <x:f>AVERAGEIFS('完整回复'!$I$9:$I$104,'完整回复'!$F$9:$F$104,$O24)</x:f>
        <x:v>0.93</x:v>
      </x:c>
      <x:c r="U24" s="13" t="str">
        <x:f>IF(COUNTIFS($J$10:$J$10,64,$K$10:$K$10,$O24)=0,"待测",AVERAGEIFS($C$10:$C$10,$J$10:$J$10,64,$K$10:$K$10,$O24))</x:f>
        <x:v>待测</x:v>
      </x:c>
    </x:row>
    <x:row r="25" ht="28" customHeight="1">
      <x:c r="O25" s="9" t="n">
        <x:v>16</x:v>
      </x:c>
      <x:c r="P25" s="13" t="str">
        <x:f>IF(COUNTIFS($J$10:$J$10,16,$K$10:$K$10,$O25)=0,"待测",AVERAGEIFS($C$10:$C$10,$J$10:$J$10,16,$K$10:$K$10,$O25))</x:f>
        <x:v>待测</x:v>
      </x:c>
      <x:c r="Q25" s="13" t="str">
        <x:f>IF(COUNTIFS($J$10:$J$10,24,$K$10:$K$10,$O25)=0,"待测",AVERAGEIFS($C$10:$C$10,$J$10:$J$10,24,$K$10:$K$10,$O25))</x:f>
        <x:v>待测</x:v>
      </x:c>
      <x:c r="R25" s="13" t="str">
        <x:f>IF(COUNTIFS($J$10:$J$10,32,$K$10:$K$10,$O25)=0,"待测",AVERAGEIFS($C$10:$C$10,$J$10:$J$10,32,$K$10:$K$10,$O25))</x:f>
        <x:v>待测</x:v>
      </x:c>
      <x:c r="S25" s="13" t="str">
        <x:f>IF(COUNTIFS($J$10:$J$10,40,$K$10:$K$10,$O25)=0,"待测",AVERAGEIFS($C$10:$C$10,$J$10:$J$10,40,$K$10:$K$10,$O25))</x:f>
        <x:v>待测</x:v>
      </x:c>
      <x:c r="T25" s="13" t="n">
        <x:f>AVERAGEIFS('完整回复'!$I$9:$I$104,'完整回复'!$F$9:$F$104,$O25)</x:f>
        <x:v>0.9266666666666666</x:v>
      </x:c>
      <x:c r="U25" s="13" t="str">
        <x:f>IF(COUNTIFS($J$10:$J$10,64,$K$10:$K$10,$O25)=0,"待测",AVERAGEIFS($C$10:$C$10,$J$10:$J$10,64,$K$10:$K$10,$O25))</x:f>
        <x:v>待测</x:v>
      </x:c>
    </x:row>
    <x:row r="26" ht="28" customHeight="1">
      <x:c r="O26" s="9" t="n">
        <x:v>17</x:v>
      </x:c>
      <x:c r="P26" s="13" t="str">
        <x:f>IF(COUNTIFS($J$10:$J$10,16,$K$10:$K$10,$O26)=0,"待测",AVERAGEIFS($C$10:$C$10,$J$10:$J$10,16,$K$10:$K$10,$O26))</x:f>
        <x:v>待测</x:v>
      </x:c>
      <x:c r="Q26" s="13" t="str">
        <x:f>IF(COUNTIFS($J$10:$J$10,24,$K$10:$K$10,$O26)=0,"待测",AVERAGEIFS($C$10:$C$10,$J$10:$J$10,24,$K$10:$K$10,$O26))</x:f>
        <x:v>待测</x:v>
      </x:c>
      <x:c r="R26" s="13" t="str">
        <x:f>IF(COUNTIFS($J$10:$J$10,32,$K$10:$K$10,$O26)=0,"待测",AVERAGEIFS($C$10:$C$10,$J$10:$J$10,32,$K$10:$K$10,$O26))</x:f>
        <x:v>待测</x:v>
      </x:c>
      <x:c r="S26" s="13" t="str">
        <x:f>IF(COUNTIFS($J$10:$J$10,40,$K$10:$K$10,$O26)=0,"待测",AVERAGEIFS($C$10:$C$10,$J$10:$J$10,40,$K$10:$K$10,$O26))</x:f>
        <x:v>待测</x:v>
      </x:c>
      <x:c r="T26" s="13" t="n">
        <x:f>AVERAGEIFS('完整回复'!$I$9:$I$104,'完整回复'!$F$9:$F$104,$O26)</x:f>
        <x:v>0.9433333333333334</x:v>
      </x:c>
      <x:c r="U26" s="13" t="str">
        <x:f>IF(COUNTIFS($J$10:$J$10,64,$K$10:$K$10,$O26)=0,"待测",AVERAGEIFS($C$10:$C$10,$J$10:$J$10,64,$K$10:$K$10,$O26))</x:f>
        <x:v>待测</x:v>
      </x:c>
    </x:row>
    <x:row r="27" ht="28" customHeight="1">
      <x:c r="O27" s="9" t="n">
        <x:v>18</x:v>
      </x:c>
      <x:c r="P27" s="13" t="str">
        <x:f>IF(COUNTIFS($J$10:$J$10,16,$K$10:$K$10,$O27)=0,"待测",AVERAGEIFS($C$10:$C$10,$J$10:$J$10,16,$K$10:$K$10,$O27))</x:f>
        <x:v>待测</x:v>
      </x:c>
      <x:c r="Q27" s="13" t="str">
        <x:f>IF(COUNTIFS($J$10:$J$10,24,$K$10:$K$10,$O27)=0,"待测",AVERAGEIFS($C$10:$C$10,$J$10:$J$10,24,$K$10:$K$10,$O27))</x:f>
        <x:v>待测</x:v>
      </x:c>
      <x:c r="R27" s="13" t="str">
        <x:f>IF(COUNTIFS($J$10:$J$10,32,$K$10:$K$10,$O27)=0,"待测",AVERAGEIFS($C$10:$C$10,$J$10:$J$10,32,$K$10:$K$10,$O27))</x:f>
        <x:v>待测</x:v>
      </x:c>
      <x:c r="S27" s="13" t="str">
        <x:f>IF(COUNTIFS($J$10:$J$10,40,$K$10:$K$10,$O27)=0,"待测",AVERAGEIFS($C$10:$C$10,$J$10:$J$10,40,$K$10:$K$10,$O27))</x:f>
        <x:v>待测</x:v>
      </x:c>
      <x:c r="T27" s="13" t="n">
        <x:f>AVERAGEIFS('完整回复'!$I$9:$I$104,'完整回复'!$F$9:$F$104,$O27)</x:f>
        <x:v>0.9666666666666667</x:v>
      </x:c>
      <x:c r="U27" s="13" t="str">
        <x:f>IF(COUNTIFS($J$10:$J$10,64,$K$10:$K$10,$O27)=0,"待测",AVERAGEIFS($C$10:$C$10,$J$10:$J$10,64,$K$10:$K$10,$O27))</x:f>
        <x:v>待测</x:v>
      </x:c>
    </x:row>
    <x:row r="28" ht="28" customHeight="1">
      <x:c r="O28" s="9" t="n">
        <x:v>19</x:v>
      </x:c>
      <x:c r="P28" s="13" t="str">
        <x:f>IF(COUNTIFS($J$10:$J$10,16,$K$10:$K$10,$O28)=0,"待测",AVERAGEIFS($C$10:$C$10,$J$10:$J$10,16,$K$10:$K$10,$O28))</x:f>
        <x:v>待测</x:v>
      </x:c>
      <x:c r="Q28" s="13" t="str">
        <x:f>IF(COUNTIFS($J$10:$J$10,24,$K$10:$K$10,$O28)=0,"待测",AVERAGEIFS($C$10:$C$10,$J$10:$J$10,24,$K$10:$K$10,$O28))</x:f>
        <x:v>待测</x:v>
      </x:c>
      <x:c r="R28" s="13" t="str">
        <x:f>IF(COUNTIFS($J$10:$J$10,32,$K$10:$K$10,$O28)=0,"待测",AVERAGEIFS($C$10:$C$10,$J$10:$J$10,32,$K$10:$K$10,$O28))</x:f>
        <x:v>待测</x:v>
      </x:c>
      <x:c r="S28" s="13" t="str">
        <x:f>IF(COUNTIFS($J$10:$J$10,40,$K$10:$K$10,$O28)=0,"待测",AVERAGEIFS($C$10:$C$10,$J$10:$J$10,40,$K$10:$K$10,$O28))</x:f>
        <x:v>待测</x:v>
      </x:c>
      <x:c r="T28" s="13" t="n">
        <x:f>AVERAGEIFS('完整回复'!$I$9:$I$104,'完整回复'!$F$9:$F$104,$O28)</x:f>
        <x:v>0.9533333333333333</x:v>
      </x:c>
      <x:c r="U28" s="13" t="str">
        <x:f>IF(COUNTIFS($J$10:$J$10,64,$K$10:$K$10,$O28)=0,"待测",AVERAGEIFS($C$10:$C$10,$J$10:$J$10,64,$K$10:$K$10,$O28))</x:f>
        <x:v>待测</x:v>
      </x:c>
    </x:row>
    <x:row r="29" ht="28" customHeight="1">
      <x:c r="O29" s="9" t="n">
        <x:v>20</x:v>
      </x:c>
      <x:c r="P29" s="13" t="str">
        <x:f>IF(COUNTIFS($J$10:$J$10,16,$K$10:$K$10,$O29)=0,"待测",AVERAGEIFS($C$10:$C$10,$J$10:$J$10,16,$K$10:$K$10,$O29))</x:f>
        <x:v>待测</x:v>
      </x:c>
      <x:c r="Q29" s="13" t="str">
        <x:f>IF(COUNTIFS($J$10:$J$10,24,$K$10:$K$10,$O29)=0,"待测",AVERAGEIFS($C$10:$C$10,$J$10:$J$10,24,$K$10:$K$10,$O29))</x:f>
        <x:v>待测</x:v>
      </x:c>
      <x:c r="R29" s="13" t="str">
        <x:f>IF(COUNTIFS($J$10:$J$10,32,$K$10:$K$10,$O29)=0,"待测",AVERAGEIFS($C$10:$C$10,$J$10:$J$10,32,$K$10:$K$10,$O29))</x:f>
        <x:v>待测</x:v>
      </x:c>
      <x:c r="S29" s="13" t="str">
        <x:f>IF(COUNTIFS($J$10:$J$10,40,$K$10:$K$10,$O29)=0,"待测",AVERAGEIFS($C$10:$C$10,$J$10:$J$10,40,$K$10:$K$10,$O29))</x:f>
        <x:v>待测</x:v>
      </x:c>
      <x:c r="T29" s="13" t="n">
        <x:f>AVERAGEIFS('完整回复'!$I$9:$I$104,'完整回复'!$F$9:$F$104,$O29)</x:f>
        <x:v>0.9500000000000001</x:v>
      </x:c>
      <x:c r="U29" s="13" t="str">
        <x:f>IF(COUNTIFS($J$10:$J$10,64,$K$10:$K$10,$O29)=0,"待测",AVERAGEIFS($C$10:$C$10,$J$10:$J$10,64,$K$10:$K$10,$O29))</x:f>
        <x:v>待测</x:v>
      </x:c>
    </x:row>
    <x:row r="30" ht="28" customHeight="1">
      <x:c r="O30" s="9" t="n">
        <x:v>21</x:v>
      </x:c>
      <x:c r="P30" s="13" t="str">
        <x:f>IF(COUNTIFS($J$10:$J$10,16,$K$10:$K$10,$O30)=0,"待测",AVERAGEIFS($C$10:$C$10,$J$10:$J$10,16,$K$10:$K$10,$O30))</x:f>
        <x:v>待测</x:v>
      </x:c>
      <x:c r="Q30" s="13" t="str">
        <x:f>IF(COUNTIFS($J$10:$J$10,24,$K$10:$K$10,$O30)=0,"待测",AVERAGEIFS($C$10:$C$10,$J$10:$J$10,24,$K$10:$K$10,$O30))</x:f>
        <x:v>待测</x:v>
      </x:c>
      <x:c r="R30" s="13" t="str">
        <x:f>IF(COUNTIFS($J$10:$J$10,32,$K$10:$K$10,$O30)=0,"待测",AVERAGEIFS($C$10:$C$10,$J$10:$J$10,32,$K$10:$K$10,$O30))</x:f>
        <x:v>待测</x:v>
      </x:c>
      <x:c r="S30" s="13" t="str">
        <x:f>IF(COUNTIFS($J$10:$J$10,40,$K$10:$K$10,$O30)=0,"待测",AVERAGEIFS($C$10:$C$10,$J$10:$J$10,40,$K$10:$K$10,$O30))</x:f>
        <x:v>待测</x:v>
      </x:c>
      <x:c r="T30" s="13" t="n">
        <x:f>AVERAGEIFS('完整回复'!$I$9:$I$104,'完整回复'!$F$9:$F$104,$O30)</x:f>
        <x:v>0.96</x:v>
      </x:c>
      <x:c r="U30" s="13" t="str">
        <x:f>IF(COUNTIFS($J$10:$J$10,64,$K$10:$K$10,$O30)=0,"待测",AVERAGEIFS($C$10:$C$10,$J$10:$J$10,64,$K$10:$K$10,$O30))</x:f>
        <x:v>待测</x:v>
      </x:c>
    </x:row>
    <x:row r="31" ht="28" customHeight="1">
      <x:c r="O31" s="9" t="n">
        <x:v>22</x:v>
      </x:c>
      <x:c r="P31" s="13" t="str">
        <x:f>IF(COUNTIFS($J$10:$J$10,16,$K$10:$K$10,$O31)=0,"待测",AVERAGEIFS($C$10:$C$10,$J$10:$J$10,16,$K$10:$K$10,$O31))</x:f>
        <x:v>待测</x:v>
      </x:c>
      <x:c r="Q31" s="13" t="str">
        <x:f>IF(COUNTIFS($J$10:$J$10,24,$K$10:$K$10,$O31)=0,"待测",AVERAGEIFS($C$10:$C$10,$J$10:$J$10,24,$K$10:$K$10,$O31))</x:f>
        <x:v>待测</x:v>
      </x:c>
      <x:c r="R31" s="13" t="str">
        <x:f>IF(COUNTIFS($J$10:$J$10,32,$K$10:$K$10,$O31)=0,"待测",AVERAGEIFS($C$10:$C$10,$J$10:$J$10,32,$K$10:$K$10,$O31))</x:f>
        <x:v>待测</x:v>
      </x:c>
      <x:c r="S31" s="13" t="str">
        <x:f>IF(COUNTIFS($J$10:$J$10,40,$K$10:$K$10,$O31)=0,"待测",AVERAGEIFS($C$10:$C$10,$J$10:$J$10,40,$K$10:$K$10,$O31))</x:f>
        <x:v>待测</x:v>
      </x:c>
      <x:c r="T31" s="13" t="n">
        <x:f>AVERAGEIFS('完整回复'!$I$9:$I$104,'完整回复'!$F$9:$F$104,$O31)</x:f>
        <x:v>0.9566666666666667</x:v>
      </x:c>
      <x:c r="U31" s="13" t="str">
        <x:f>IF(COUNTIFS($J$10:$J$10,64,$K$10:$K$10,$O31)=0,"待测",AVERAGEIFS($C$10:$C$10,$J$10:$J$10,64,$K$10:$K$10,$O31))</x:f>
        <x:v>待测</x:v>
      </x:c>
    </x:row>
    <x:row r="32" ht="28" customHeight="1">
      <x:c r="O32" s="9" t="n">
        <x:v>23</x:v>
      </x:c>
      <x:c r="P32" s="13" t="str">
        <x:f>IF(COUNTIFS($J$10:$J$10,16,$K$10:$K$10,$O32)=0,"待测",AVERAGEIFS($C$10:$C$10,$J$10:$J$10,16,$K$10:$K$10,$O32))</x:f>
        <x:v>待测</x:v>
      </x:c>
      <x:c r="Q32" s="13" t="str">
        <x:f>IF(COUNTIFS($J$10:$J$10,24,$K$10:$K$10,$O32)=0,"待测",AVERAGEIFS($C$10:$C$10,$J$10:$J$10,24,$K$10:$K$10,$O32))</x:f>
        <x:v>待测</x:v>
      </x:c>
      <x:c r="R32" s="13" t="str">
        <x:f>IF(COUNTIFS($J$10:$J$10,32,$K$10:$K$10,$O32)=0,"待测",AVERAGEIFS($C$10:$C$10,$J$10:$J$10,32,$K$10:$K$10,$O32))</x:f>
        <x:v>待测</x:v>
      </x:c>
      <x:c r="S32" s="13" t="str">
        <x:f>IF(COUNTIFS($J$10:$J$10,40,$K$10:$K$10,$O32)=0,"待测",AVERAGEIFS($C$10:$C$10,$J$10:$J$10,40,$K$10:$K$10,$O32))</x:f>
        <x:v>待测</x:v>
      </x:c>
      <x:c r="T32" s="13" t="n">
        <x:f>AVERAGEIFS('完整回复'!$I$9:$I$104,'完整回复'!$F$9:$F$104,$O32)</x:f>
        <x:v>0.9566666666666667</x:v>
      </x:c>
      <x:c r="U32" s="13" t="str">
        <x:f>IF(COUNTIFS($J$10:$J$10,64,$K$10:$K$10,$O32)=0,"待测",AVERAGEIFS($C$10:$C$10,$J$10:$J$10,64,$K$10:$K$10,$O32))</x:f>
        <x:v>待测</x:v>
      </x:c>
    </x:row>
    <x:row r="33" ht="28" customHeight="1">
      <x:c r="O33" s="9" t="n">
        <x:v>24</x:v>
      </x:c>
      <x:c r="P33" s="13" t="str">
        <x:f>IF(COUNTIFS($J$10:$J$10,16,$K$10:$K$10,$O33)=0,"待测",AVERAGEIFS($C$10:$C$10,$J$10:$J$10,16,$K$10:$K$10,$O33))</x:f>
        <x:v>待测</x:v>
      </x:c>
      <x:c r="Q33" s="13" t="str">
        <x:f>IF(COUNTIFS($J$10:$J$10,24,$K$10:$K$10,$O33)=0,"待测",AVERAGEIFS($C$10:$C$10,$J$10:$J$10,24,$K$10:$K$10,$O33))</x:f>
        <x:v>待测</x:v>
      </x:c>
      <x:c r="R33" s="13" t="str">
        <x:f>IF(COUNTIFS($J$10:$J$10,32,$K$10:$K$10,$O33)=0,"待测",AVERAGEIFS($C$10:$C$10,$J$10:$J$10,32,$K$10:$K$10,$O33))</x:f>
        <x:v>待测</x:v>
      </x:c>
      <x:c r="S33" s="13" t="str">
        <x:f>IF(COUNTIFS($J$10:$J$10,40,$K$10:$K$10,$O33)=0,"待测",AVERAGEIFS($C$10:$C$10,$J$10:$J$10,40,$K$10:$K$10,$O33))</x:f>
        <x:v>待测</x:v>
      </x:c>
      <x:c r="T33" s="13" t="n">
        <x:f>AVERAGEIFS('完整回复'!$I$9:$I$104,'完整回复'!$F$9:$F$104,$O33)</x:f>
        <x:v>0.9733333333333333</x:v>
      </x:c>
      <x:c r="U33" s="13" t="str">
        <x:f>IF(COUNTIFS($J$10:$J$10,64,$K$10:$K$10,$O33)=0,"待测",AVERAGEIFS($C$10:$C$10,$J$10:$J$10,64,$K$10:$K$10,$O33))</x:f>
        <x:v>待测</x:v>
      </x:c>
    </x:row>
    <x:row r="34" ht="28" customHeight="1">
      <x:c r="O34" s="9" t="n">
        <x:v>25</x:v>
      </x:c>
      <x:c r="P34" s="13" t="str">
        <x:f>IF(COUNTIFS($J$10:$J$10,16,$K$10:$K$10,$O34)=0,"待测",AVERAGEIFS($C$10:$C$10,$J$10:$J$10,16,$K$10:$K$10,$O34))</x:f>
        <x:v>待测</x:v>
      </x:c>
      <x:c r="Q34" s="13" t="str">
        <x:f>IF(COUNTIFS($J$10:$J$10,24,$K$10:$K$10,$O34)=0,"待测",AVERAGEIFS($C$10:$C$10,$J$10:$J$10,24,$K$10:$K$10,$O34))</x:f>
        <x:v>待测</x:v>
      </x:c>
      <x:c r="R34" s="13" t="str">
        <x:f>IF(COUNTIFS($J$10:$J$10,32,$K$10:$K$10,$O34)=0,"待测",AVERAGEIFS($C$10:$C$10,$J$10:$J$10,32,$K$10:$K$10,$O34))</x:f>
        <x:v>待测</x:v>
      </x:c>
      <x:c r="S34" s="13" t="str">
        <x:f>IF(COUNTIFS($J$10:$J$10,40,$K$10:$K$10,$O34)=0,"待测",AVERAGEIFS($C$10:$C$10,$J$10:$J$10,40,$K$10:$K$10,$O34))</x:f>
        <x:v>待测</x:v>
      </x:c>
      <x:c r="T34" s="13" t="n">
        <x:f>AVERAGEIFS('完整回复'!$I$9:$I$104,'完整回复'!$F$9:$F$104,$O34)</x:f>
        <x:v>0.96</x:v>
      </x:c>
      <x:c r="U34" s="13" t="str">
        <x:f>IF(COUNTIFS($J$10:$J$10,64,$K$10:$K$10,$O34)=0,"待测",AVERAGEIFS($C$10:$C$10,$J$10:$J$10,64,$K$10:$K$10,$O34))</x:f>
        <x:v>待测</x:v>
      </x:c>
    </x:row>
    <x:row r="35" ht="28" customHeight="1">
      <x:c r="O35" s="9" t="n">
        <x:v>26</x:v>
      </x:c>
      <x:c r="P35" s="13" t="str">
        <x:f>IF(COUNTIFS($J$10:$J$10,16,$K$10:$K$10,$O35)=0,"待测",AVERAGEIFS($C$10:$C$10,$J$10:$J$10,16,$K$10:$K$10,$O35))</x:f>
        <x:v>待测</x:v>
      </x:c>
      <x:c r="Q35" s="13" t="str">
        <x:f>IF(COUNTIFS($J$10:$J$10,24,$K$10:$K$10,$O35)=0,"待测",AVERAGEIFS($C$10:$C$10,$J$10:$J$10,24,$K$10:$K$10,$O35))</x:f>
        <x:v>待测</x:v>
      </x:c>
      <x:c r="R35" s="13" t="str">
        <x:f>IF(COUNTIFS($J$10:$J$10,32,$K$10:$K$10,$O35)=0,"待测",AVERAGEIFS($C$10:$C$10,$J$10:$J$10,32,$K$10:$K$10,$O35))</x:f>
        <x:v>待测</x:v>
      </x:c>
      <x:c r="S35" s="13" t="str">
        <x:f>IF(COUNTIFS($J$10:$J$10,40,$K$10:$K$10,$O35)=0,"待测",AVERAGEIFS($C$10:$C$10,$J$10:$J$10,40,$K$10:$K$10,$O35))</x:f>
        <x:v>待测</x:v>
      </x:c>
      <x:c r="T35" s="13" t="n">
        <x:f>AVERAGEIFS('完整回复'!$I$9:$I$104,'完整回复'!$F$9:$F$104,$O35)</x:f>
        <x:v>0.9700000000000001</x:v>
      </x:c>
      <x:c r="U35" s="13" t="str">
        <x:f>IF(COUNTIFS($J$10:$J$10,64,$K$10:$K$10,$O35)=0,"待测",AVERAGEIFS($C$10:$C$10,$J$10:$J$10,64,$K$10:$K$10,$O35))</x:f>
        <x:v>待测</x:v>
      </x:c>
    </x:row>
    <x:row r="36" ht="28" customHeight="1">
      <x:c r="O36" s="9" t="n">
        <x:v>27</x:v>
      </x:c>
      <x:c r="P36" s="13" t="str">
        <x:f>IF(COUNTIFS($J$10:$J$10,16,$K$10:$K$10,$O36)=0,"待测",AVERAGEIFS($C$10:$C$10,$J$10:$J$10,16,$K$10:$K$10,$O36))</x:f>
        <x:v>待测</x:v>
      </x:c>
      <x:c r="Q36" s="13" t="str">
        <x:f>IF(COUNTIFS($J$10:$J$10,24,$K$10:$K$10,$O36)=0,"待测",AVERAGEIFS($C$10:$C$10,$J$10:$J$10,24,$K$10:$K$10,$O36))</x:f>
        <x:v>待测</x:v>
      </x:c>
      <x:c r="R36" s="13" t="str">
        <x:f>IF(COUNTIFS($J$10:$J$10,32,$K$10:$K$10,$O36)=0,"待测",AVERAGEIFS($C$10:$C$10,$J$10:$J$10,32,$K$10:$K$10,$O36))</x:f>
        <x:v>待测</x:v>
      </x:c>
      <x:c r="S36" s="13" t="str">
        <x:f>IF(COUNTIFS($J$10:$J$10,40,$K$10:$K$10,$O36)=0,"待测",AVERAGEIFS($C$10:$C$10,$J$10:$J$10,40,$K$10:$K$10,$O36))</x:f>
        <x:v>待测</x:v>
      </x:c>
      <x:c r="T36" s="13" t="n">
        <x:f>AVERAGEIFS('完整回复'!$I$9:$I$104,'完整回复'!$F$9:$F$104,$O36)</x:f>
        <x:v>0.9566666666666667</x:v>
      </x:c>
      <x:c r="U36" s="13" t="str">
        <x:f>IF(COUNTIFS($J$10:$J$10,64,$K$10:$K$10,$O36)=0,"待测",AVERAGEIFS($C$10:$C$10,$J$10:$J$10,64,$K$10:$K$10,$O36))</x:f>
        <x:v>待测</x:v>
      </x:c>
    </x:row>
    <x:row r="37" ht="28" customHeight="1">
      <x:c r="O37" s="9" t="n">
        <x:v>28</x:v>
      </x:c>
      <x:c r="P37" s="13" t="str">
        <x:f>IF(COUNTIFS($J$10:$J$10,16,$K$10:$K$10,$O37)=0,"待测",AVERAGEIFS($C$10:$C$10,$J$10:$J$10,16,$K$10:$K$10,$O37))</x:f>
        <x:v>待测</x:v>
      </x:c>
      <x:c r="Q37" s="13" t="str">
        <x:f>IF(COUNTIFS($J$10:$J$10,24,$K$10:$K$10,$O37)=0,"待测",AVERAGEIFS($C$10:$C$10,$J$10:$J$10,24,$K$10:$K$10,$O37))</x:f>
        <x:v>待测</x:v>
      </x:c>
      <x:c r="R37" s="13" t="str">
        <x:f>IF(COUNTIFS($J$10:$J$10,32,$K$10:$K$10,$O37)=0,"待测",AVERAGEIFS($C$10:$C$10,$J$10:$J$10,32,$K$10:$K$10,$O37))</x:f>
        <x:v>待测</x:v>
      </x:c>
      <x:c r="S37" s="13" t="str">
        <x:f>IF(COUNTIFS($J$10:$J$10,40,$K$10:$K$10,$O37)=0,"待测",AVERAGEIFS($C$10:$C$10,$J$10:$J$10,40,$K$10:$K$10,$O37))</x:f>
        <x:v>待测</x:v>
      </x:c>
      <x:c r="T37" s="13" t="n">
        <x:f>AVERAGEIFS('完整回复'!$I$9:$I$104,'完整回复'!$F$9:$F$104,$O37)</x:f>
        <x:v>0.9766666666666666</x:v>
      </x:c>
      <x:c r="U37" s="13" t="str">
        <x:f>IF(COUNTIFS($J$10:$J$10,64,$K$10:$K$10,$O37)=0,"待测",AVERAGEIFS($C$10:$C$10,$J$10:$J$10,64,$K$10:$K$10,$O37))</x:f>
        <x:v>待测</x:v>
      </x:c>
    </x:row>
    <x:row r="38" ht="28" customHeight="1">
      <x:c r="O38" s="9" t="n">
        <x:v>29</x:v>
      </x:c>
      <x:c r="P38" s="13" t="str">
        <x:f>IF(COUNTIFS($J$10:$J$10,16,$K$10:$K$10,$O38)=0,"待测",AVERAGEIFS($C$10:$C$10,$J$10:$J$10,16,$K$10:$K$10,$O38))</x:f>
        <x:v>待测</x:v>
      </x:c>
      <x:c r="Q38" s="13" t="str">
        <x:f>IF(COUNTIFS($J$10:$J$10,24,$K$10:$K$10,$O38)=0,"待测",AVERAGEIFS($C$10:$C$10,$J$10:$J$10,24,$K$10:$K$10,$O38))</x:f>
        <x:v>待测</x:v>
      </x:c>
      <x:c r="R38" s="13" t="str">
        <x:f>IF(COUNTIFS($J$10:$J$10,32,$K$10:$K$10,$O38)=0,"待测",AVERAGEIFS($C$10:$C$10,$J$10:$J$10,32,$K$10:$K$10,$O38))</x:f>
        <x:v>待测</x:v>
      </x:c>
      <x:c r="S38" s="13" t="str">
        <x:f>IF(COUNTIFS($J$10:$J$10,40,$K$10:$K$10,$O38)=0,"待测",AVERAGEIFS($C$10:$C$10,$J$10:$J$10,40,$K$10:$K$10,$O38))</x:f>
        <x:v>待测</x:v>
      </x:c>
      <x:c r="T38" s="13" t="n">
        <x:f>AVERAGEIFS('完整回复'!$I$9:$I$104,'完整回复'!$F$9:$F$104,$O38)</x:f>
        <x:v>0.9700000000000001</x:v>
      </x:c>
      <x:c r="U38" s="13" t="str">
        <x:f>IF(COUNTIFS($J$10:$J$10,64,$K$10:$K$10,$O38)=0,"待测",AVERAGEIFS($C$10:$C$10,$J$10:$J$10,64,$K$10:$K$10,$O38))</x:f>
        <x:v>待测</x:v>
      </x:c>
    </x:row>
    <x:row r="39" ht="28" customHeight="1">
      <x:c r="O39" s="9" t="n">
        <x:v>30</x:v>
      </x:c>
      <x:c r="P39" s="13" t="str">
        <x:f>IF(COUNTIFS($J$10:$J$10,16,$K$10:$K$10,$O39)=0,"待测",AVERAGEIFS($C$10:$C$10,$J$10:$J$10,16,$K$10:$K$10,$O39))</x:f>
        <x:v>待测</x:v>
      </x:c>
      <x:c r="Q39" s="13" t="str">
        <x:f>IF(COUNTIFS($J$10:$J$10,24,$K$10:$K$10,$O39)=0,"待测",AVERAGEIFS($C$10:$C$10,$J$10:$J$10,24,$K$10:$K$10,$O39))</x:f>
        <x:v>待测</x:v>
      </x:c>
      <x:c r="R39" s="13" t="str">
        <x:f>IF(COUNTIFS($J$10:$J$10,32,$K$10:$K$10,$O39)=0,"待测",AVERAGEIFS($C$10:$C$10,$J$10:$J$10,32,$K$10:$K$10,$O39))</x:f>
        <x:v>待测</x:v>
      </x:c>
      <x:c r="S39" s="13" t="str">
        <x:f>IF(COUNTIFS($J$10:$J$10,40,$K$10:$K$10,$O39)=0,"待测",AVERAGEIFS($C$10:$C$10,$J$10:$J$10,40,$K$10:$K$10,$O39))</x:f>
        <x:v>待测</x:v>
      </x:c>
      <x:c r="T39" s="13" t="n">
        <x:f>AVERAGEIFS('完整回复'!$I$9:$I$104,'完整回复'!$F$9:$F$104,$O39)</x:f>
        <x:v>0.9666666666666667</x:v>
      </x:c>
      <x:c r="U39" s="13" t="str">
        <x:f>IF(COUNTIFS($J$10:$J$10,64,$K$10:$K$10,$O39)=0,"待测",AVERAGEIFS($C$10:$C$10,$J$10:$J$10,64,$K$10:$K$10,$O39))</x:f>
        <x:v>待测</x:v>
      </x:c>
    </x:row>
    <x:row r="40" ht="28" customHeight="1">
      <x:c r="O40" s="9" t="n">
        <x:v>31</x:v>
      </x:c>
      <x:c r="P40" s="13" t="str">
        <x:f>IF(COUNTIFS($J$10:$J$10,16,$K$10:$K$10,$O40)=0,"待测",AVERAGEIFS($C$10:$C$10,$J$10:$J$10,16,$K$10:$K$10,$O40))</x:f>
        <x:v>待测</x:v>
      </x:c>
      <x:c r="Q40" s="13" t="str">
        <x:f>IF(COUNTIFS($J$10:$J$10,24,$K$10:$K$10,$O40)=0,"待测",AVERAGEIFS($C$10:$C$10,$J$10:$J$10,24,$K$10:$K$10,$O40))</x:f>
        <x:v>待测</x:v>
      </x:c>
      <x:c r="R40" s="13" t="str">
        <x:f>IF(COUNTIFS($J$10:$J$10,32,$K$10:$K$10,$O40)=0,"待测",AVERAGEIFS($C$10:$C$10,$J$10:$J$10,32,$K$10:$K$10,$O40))</x:f>
        <x:v>待测</x:v>
      </x:c>
      <x:c r="S40" s="13" t="str">
        <x:f>IF(COUNTIFS($J$10:$J$10,40,$K$10:$K$10,$O40)=0,"待测",AVERAGEIFS($C$10:$C$10,$J$10:$J$10,40,$K$10:$K$10,$O40))</x:f>
        <x:v>待测</x:v>
      </x:c>
      <x:c r="T40" s="13" t="n">
        <x:f>AVERAGEIFS('完整回复'!$I$9:$I$104,'完整回复'!$F$9:$F$104,$O40)</x:f>
        <x:v>0.98</x:v>
      </x:c>
      <x:c r="U40" s="13" t="str">
        <x:f>IF(COUNTIFS($J$10:$J$10,64,$K$10:$K$10,$O40)=0,"待测",AVERAGEIFS($C$10:$C$10,$J$10:$J$10,64,$K$10:$K$10,$O40))</x:f>
        <x:v>待测</x:v>
      </x:c>
    </x:row>
    <x:row r="41" ht="28" customHeight="1">
      <x:c r="O41" s="9" t="n">
        <x:v>32</x:v>
      </x:c>
      <x:c r="P41" s="13" t="str">
        <x:f>IF(COUNTIFS($J$10:$J$10,16,$K$10:$K$10,$O41)=0,"待测",AVERAGEIFS($C$10:$C$10,$J$10:$J$10,16,$K$10:$K$10,$O41))</x:f>
        <x:v>待测</x:v>
      </x:c>
      <x:c r="Q41" s="13" t="str">
        <x:f>IF(COUNTIFS($J$10:$J$10,24,$K$10:$K$10,$O41)=0,"待测",AVERAGEIFS($C$10:$C$10,$J$10:$J$10,24,$K$10:$K$10,$O41))</x:f>
        <x:v>待测</x:v>
      </x:c>
      <x:c r="R41" s="13" t="str">
        <x:f>IF(COUNTIFS($J$10:$J$10,32,$K$10:$K$10,$O41)=0,"待测",AVERAGEIFS($C$10:$C$10,$J$10:$J$10,32,$K$10:$K$10,$O41))</x:f>
        <x:v>待测</x:v>
      </x:c>
      <x:c r="S41" s="13" t="str">
        <x:f>IF(COUNTIFS($J$10:$J$10,40,$K$10:$K$10,$O41)=0,"待测",AVERAGEIFS($C$10:$C$10,$J$10:$J$10,40,$K$10:$K$10,$O41))</x:f>
        <x:v>待测</x:v>
      </x:c>
      <x:c r="T41" s="13" t="n">
        <x:f>AVERAGEIFS('完整回复'!$I$9:$I$104,'完整回复'!$F$9:$F$104,$O41)</x:f>
        <x:v>0.9733333333333333</x:v>
      </x:c>
      <x:c r="U41" s="13" t="str">
        <x:f>IF(COUNTIFS($J$10:$J$10,64,$K$10:$K$10,$O41)=0,"待测",AVERAGEIFS($C$10:$C$10,$J$10:$J$10,64,$K$10:$K$10,$O41))</x:f>
        <x:v>待测</x:v>
      </x:c>
    </x:row>
  </x:sheetData>
  <x:pageMargins left="0.7" right="0.7" top="0.75" bottom="0.75" header="0.3" footer="0.3"/>
  <x:tableParts count="1">
    <x:tablePart xmlns:r="http://schemas.openxmlformats.org/officeDocument/2006/relationships" r:id="Rf52d6a2074c746c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100" hidden="0" customWidth="1"/>
    <x:col min="3" max="3" width="3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85" hidden="0" customWidth="1"/>
  </x:cols>
  <x:sheetData>
    <x:row r="1">
      <x:c r="A1" s="1"/>
      <x:c r="B1" s="1"/>
      <x:c r="C1" s="1"/>
    </x:row>
    <x:row r="2" ht="30" customHeight="1">
      <x:c r="A2" s="23" t="str">
        <x:v>完整回复与参考字符（第01轮）</x:v>
      </x:c>
      <x:c r="B2" s="1"/>
      <x:c r="C2" s="1"/>
      <x:c r="E2" t="str">
        <x:v>48px历史数据（只读引用实验一三轮）</x:v>
      </x:c>
    </x:row>
    <x:row r="3">
      <x:c r="A3" s="1" t="str">
        <x:v>来源：evidence-01/records、responses；参考文字见本页。</x:v>
      </x:c>
      <x:c r="B3" s="1"/>
      <x:c r="C3" s="1"/>
      <x:c r="E3" t="str">
        <x:v>g1沿用历史旧位置；新字号均使用固定锚点(86,672)。</x:v>
      </x:c>
    </x:row>
    <x:row r="4">
      <x:c r="A4" s="1"/>
      <x:c r="B4" s="1"/>
      <x:c r="C4" s="1"/>
    </x:row>
    <x:row r="5" ht="105" customHeight="1">
      <x:c r="A5" s="1" t="str">
        <x:v>参考字符</x:v>
      </x:c>
      <x:c r="B5" s="5" t="str">
        <x:v>WEATFMVQYHCLIUIBZCDZ
PQLCFFGRQAXXLGTIRTGK
FTWUUWEIJQKUMAOUKARP
HPAHTEXPURNKYQYHOSZH
OWECDAHTVWPPSYPQNNAL</x:v>
      </x:c>
      <x:c r="C5" s="1"/>
    </x:row>
    <x:row r="6">
      <x:c r="A6" s="1"/>
      <x:c r="B6" s="1"/>
      <x:c r="C6" s="1"/>
    </x:row>
    <x:row r="7">
      <x:c r="A7" s="1" t="str">
        <x:v>原文及换行保留，不补全、不纠错；亮度条件以逐轮原记录和已确认说明为准。</x:v>
      </x:c>
      <x:c r="B7" s="1"/>
      <x:c r="C7" s="1"/>
    </x:row>
    <x:row r="8" ht="30" customHeight="1">
      <x:c r="A8" s="22" t="str">
        <x:v>条件ID</x:v>
      </x:c>
      <x:c r="B8" s="22" t="str">
        <x:v>助手完整回复</x:v>
      </x:c>
      <x:c r="C8" s="22" t="str">
        <x:v>对应截图文件名</x:v>
      </x:c>
      <x:c r="E8" s="22" t="str">
        <x:v>历史轮次</x:v>
      </x:c>
      <x:c r="F8" s="22" t="str">
        <x:v>Δg</x:v>
      </x:c>
      <x:c r="G8" s="22" t="str">
        <x:v>字号px</x:v>
      </x:c>
      <x:c r="H8" s="22" t="str">
        <x:v>正确数</x:v>
      </x:c>
      <x:c r="I8" s="22" t="str">
        <x:v>正确率</x:v>
      </x:c>
      <x:c r="J8" s="22" t="str">
        <x:v>替换</x:v>
      </x:c>
      <x:c r="K8" s="22" t="str">
        <x:v>删除</x:v>
      </x:c>
      <x:c r="L8" s="22" t="str">
        <x:v>插入</x:v>
      </x:c>
      <x:c r="M8" s="22" t="str">
        <x:v>CER</x:v>
      </x:c>
      <x:c r="N8" s="22" t="str">
        <x:v>历史记录路径</x:v>
      </x:c>
    </x:row>
    <x:row r="9" ht="28" customHeight="1">
      <x:c r="A9" s="16" t="str">
        <x:v>f16-g01</x:v>
      </x:c>
      <x:c r="B9" s="17" t="str">
        <x:v>[UNREADABLE]</x:v>
      </x:c>
      <x:c r="C9" s="16" t="str">
        <x:v>exp2-screenshot-f16-g01.png</x:v>
      </x:c>
      <x:c r="E9" s="9" t="n">
        <x:v>1</x:v>
      </x:c>
      <x:c r="F9" s="9" t="n">
        <x:v>1</x:v>
      </x:c>
      <x:c r="G9" s="9" t="n">
        <x:v>48</x:v>
      </x:c>
      <x:c r="H9" s="9" t="n">
        <x:v>0</x:v>
      </x:c>
      <x:c r="I9" s="13" t="n">
        <x:v>0</x:v>
      </x:c>
      <x:c r="J9" s="9" t="n">
        <x:v>0</x:v>
      </x:c>
      <x:c r="K9" s="9" t="n">
        <x:v>100</x:v>
      </x:c>
      <x:c r="L9" s="9" t="n">
        <x:v>0</x:v>
      </x:c>
      <x:c r="M9" s="13" t="n">
        <x:v>1</x:v>
      </x:c>
      <x:c r="N9" s="9" t="str">
        <x:v>26-10-26/exp1-perplexity/evidence-01/records/exp1-result-1.json</x:v>
      </x:c>
    </x:row>
    <x:row r="10" ht="28" customHeight="1">
      <x:c r="E10" s="9" t="n">
        <x:v>1</x:v>
      </x:c>
      <x:c r="F10" s="9" t="n">
        <x:v>2</x:v>
      </x:c>
      <x:c r="G10" s="9" t="n">
        <x:v>48</x:v>
      </x:c>
      <x:c r="H10" s="9" t="n">
        <x:v>0</x:v>
      </x:c>
      <x:c r="I10" s="13" t="n">
        <x:v>0</x:v>
      </x:c>
      <x:c r="J10" s="9" t="n">
        <x:v>0</x:v>
      </x:c>
      <x:c r="K10" s="9" t="n">
        <x:v>100</x:v>
      </x:c>
      <x:c r="L10" s="9" t="n">
        <x:v>0</x:v>
      </x:c>
      <x:c r="M10" s="13" t="n">
        <x:v>1</x:v>
      </x:c>
      <x:c r="N10" s="9" t="str">
        <x:v>26-10-26/exp1-perplexity/evidence-01/records/exp1-result-2.json</x:v>
      </x:c>
    </x:row>
    <x:row r="11" ht="28" customHeight="1">
      <x:c r="E11" s="9" t="n">
        <x:v>1</x:v>
      </x:c>
      <x:c r="F11" s="9" t="n">
        <x:v>3</x:v>
      </x:c>
      <x:c r="G11" s="9" t="n">
        <x:v>48</x:v>
      </x:c>
      <x:c r="H11" s="9" t="n">
        <x:v>0</x:v>
      </x:c>
      <x:c r="I11" s="13" t="n">
        <x:v>0</x:v>
      </x:c>
      <x:c r="J11" s="9" t="n">
        <x:v>0</x:v>
      </x:c>
      <x:c r="K11" s="9" t="n">
        <x:v>100</x:v>
      </x:c>
      <x:c r="L11" s="9" t="n">
        <x:v>0</x:v>
      </x:c>
      <x:c r="M11" s="13" t="n">
        <x:v>1</x:v>
      </x:c>
      <x:c r="N11" s="9" t="str">
        <x:v>26-10-26/exp1-perplexity/evidence-01/records/exp1-result-3.json</x:v>
      </x:c>
    </x:row>
    <x:row r="12" ht="28" customHeight="1">
      <x:c r="E12" s="9" t="n">
        <x:v>1</x:v>
      </x:c>
      <x:c r="F12" s="9" t="n">
        <x:v>4</x:v>
      </x:c>
      <x:c r="G12" s="9" t="n">
        <x:v>48</x:v>
      </x:c>
      <x:c r="H12" s="9" t="n">
        <x:v>0</x:v>
      </x:c>
      <x:c r="I12" s="13" t="n">
        <x:v>0</x:v>
      </x:c>
      <x:c r="J12" s="9" t="n">
        <x:v>0</x:v>
      </x:c>
      <x:c r="K12" s="9" t="n">
        <x:v>100</x:v>
      </x:c>
      <x:c r="L12" s="9" t="n">
        <x:v>0</x:v>
      </x:c>
      <x:c r="M12" s="13" t="n">
        <x:v>1</x:v>
      </x:c>
      <x:c r="N12" s="9" t="str">
        <x:v>26-10-26/exp1-perplexity/evidence-01/records/exp1-result-4.json</x:v>
      </x:c>
    </x:row>
    <x:row r="13" ht="28" customHeight="1">
      <x:c r="E13" s="9" t="n">
        <x:v>1</x:v>
      </x:c>
      <x:c r="F13" s="9" t="n">
        <x:v>5</x:v>
      </x:c>
      <x:c r="G13" s="9" t="n">
        <x:v>48</x:v>
      </x:c>
      <x:c r="H13" s="9" t="n">
        <x:v>0</x:v>
      </x:c>
      <x:c r="I13" s="13" t="n">
        <x:v>0</x:v>
      </x:c>
      <x:c r="J13" s="9" t="n">
        <x:v>0</x:v>
      </x:c>
      <x:c r="K13" s="9" t="n">
        <x:v>100</x:v>
      </x:c>
      <x:c r="L13" s="9" t="n">
        <x:v>0</x:v>
      </x:c>
      <x:c r="M13" s="13" t="n">
        <x:v>1</x:v>
      </x:c>
      <x:c r="N13" s="9" t="str">
        <x:v>26-10-26/exp1-perplexity/evidence-01/records/exp1-result-5.json</x:v>
      </x:c>
    </x:row>
    <x:row r="14" ht="28" customHeight="1">
      <x:c r="E14" s="9" t="n">
        <x:v>1</x:v>
      </x:c>
      <x:c r="F14" s="9" t="n">
        <x:v>6</x:v>
      </x:c>
      <x:c r="G14" s="9" t="n">
        <x:v>48</x:v>
      </x:c>
      <x:c r="H14" s="9" t="n">
        <x:v>20</x:v>
      </x:c>
      <x:c r="I14" s="13" t="n">
        <x:v>0.2</x:v>
      </x:c>
      <x:c r="J14" s="9" t="n">
        <x:v>63</x:v>
      </x:c>
      <x:c r="K14" s="9" t="n">
        <x:v>17</x:v>
      </x:c>
      <x:c r="L14" s="9" t="n">
        <x:v>3</x:v>
      </x:c>
      <x:c r="M14" s="13" t="n">
        <x:v>0.83</x:v>
      </x:c>
      <x:c r="N14" s="9" t="str">
        <x:v>26-10-26/exp1-perplexity/evidence-01/records/exp1-result-6.json</x:v>
      </x:c>
    </x:row>
    <x:row r="15" ht="28" customHeight="1">
      <x:c r="E15" s="9" t="n">
        <x:v>1</x:v>
      </x:c>
      <x:c r="F15" s="9" t="n">
        <x:v>7</x:v>
      </x:c>
      <x:c r="G15" s="9" t="n">
        <x:v>48</x:v>
      </x:c>
      <x:c r="H15" s="9" t="n">
        <x:v>0</x:v>
      </x:c>
      <x:c r="I15" s="13" t="n">
        <x:v>0</x:v>
      </x:c>
      <x:c r="J15" s="9" t="n">
        <x:v>0</x:v>
      </x:c>
      <x:c r="K15" s="9" t="n">
        <x:v>100</x:v>
      </x:c>
      <x:c r="L15" s="9" t="n">
        <x:v>0</x:v>
      </x:c>
      <x:c r="M15" s="13" t="n">
        <x:v>1</x:v>
      </x:c>
      <x:c r="N15" s="9" t="str">
        <x:v>26-10-26/exp1-perplexity/evidence-01/records/exp1-result-7.json</x:v>
      </x:c>
    </x:row>
    <x:row r="16" ht="28" customHeight="1">
      <x:c r="E16" s="9" t="n">
        <x:v>1</x:v>
      </x:c>
      <x:c r="F16" s="9" t="n">
        <x:v>8</x:v>
      </x:c>
      <x:c r="G16" s="9" t="n">
        <x:v>48</x:v>
      </x:c>
      <x:c r="H16" s="9" t="n">
        <x:v>73</x:v>
      </x:c>
      <x:c r="I16" s="13" t="n">
        <x:v>0.73</x:v>
      </x:c>
      <x:c r="J16" s="9" t="n">
        <x:v>19</x:v>
      </x:c>
      <x:c r="K16" s="9" t="n">
        <x:v>8</x:v>
      </x:c>
      <x:c r="L16" s="9" t="n">
        <x:v>0</x:v>
      </x:c>
      <x:c r="M16" s="13" t="n">
        <x:v>0.27</x:v>
      </x:c>
      <x:c r="N16" s="9" t="str">
        <x:v>26-10-26/exp1-perplexity/evidence-01/records/exp1-result-8.json</x:v>
      </x:c>
    </x:row>
    <x:row r="17" ht="28" customHeight="1">
      <x:c r="E17" s="9" t="n">
        <x:v>1</x:v>
      </x:c>
      <x:c r="F17" s="9" t="n">
        <x:v>9</x:v>
      </x:c>
      <x:c r="G17" s="9" t="n">
        <x:v>48</x:v>
      </x:c>
      <x:c r="H17" s="9" t="n">
        <x:v>72</x:v>
      </x:c>
      <x:c r="I17" s="13" t="n">
        <x:v>0.72</x:v>
      </x:c>
      <x:c r="J17" s="9" t="n">
        <x:v>20</x:v>
      </x:c>
      <x:c r="K17" s="9" t="n">
        <x:v>8</x:v>
      </x:c>
      <x:c r="L17" s="9" t="n">
        <x:v>1</x:v>
      </x:c>
      <x:c r="M17" s="13" t="n">
        <x:v>0.29</x:v>
      </x:c>
      <x:c r="N17" s="9" t="str">
        <x:v>26-10-26/exp1-perplexity/evidence-01/records/exp1-result-9.json</x:v>
      </x:c>
    </x:row>
    <x:row r="18" ht="28" customHeight="1">
      <x:c r="E18" s="9" t="n">
        <x:v>1</x:v>
      </x:c>
      <x:c r="F18" s="9" t="n">
        <x:v>10</x:v>
      </x:c>
      <x:c r="G18" s="9" t="n">
        <x:v>48</x:v>
      </x:c>
      <x:c r="H18" s="9" t="n">
        <x:v>81</x:v>
      </x:c>
      <x:c r="I18" s="13" t="n">
        <x:v>0.81</x:v>
      </x:c>
      <x:c r="J18" s="9" t="n">
        <x:v>17</x:v>
      </x:c>
      <x:c r="K18" s="9" t="n">
        <x:v>2</x:v>
      </x:c>
      <x:c r="L18" s="9" t="n">
        <x:v>1</x:v>
      </x:c>
      <x:c r="M18" s="13" t="n">
        <x:v>0.2</x:v>
      </x:c>
      <x:c r="N18" s="9" t="str">
        <x:v>26-10-26/exp1-perplexity/evidence-01/records/exp1-result-10.json</x:v>
      </x:c>
    </x:row>
    <x:row r="19" ht="28" customHeight="1">
      <x:c r="E19" s="9" t="n">
        <x:v>1</x:v>
      </x:c>
      <x:c r="F19" s="9" t="n">
        <x:v>11</x:v>
      </x:c>
      <x:c r="G19" s="9" t="n">
        <x:v>48</x:v>
      </x:c>
      <x:c r="H19" s="9" t="n">
        <x:v>91</x:v>
      </x:c>
      <x:c r="I19" s="13" t="n">
        <x:v>0.91</x:v>
      </x:c>
      <x:c r="J19" s="9" t="n">
        <x:v>8</x:v>
      </x:c>
      <x:c r="K19" s="9" t="n">
        <x:v>1</x:v>
      </x:c>
      <x:c r="L19" s="9" t="n">
        <x:v>0</x:v>
      </x:c>
      <x:c r="M19" s="13" t="n">
        <x:v>0.09</x:v>
      </x:c>
      <x:c r="N19" s="9" t="str">
        <x:v>26-10-26/exp1-perplexity/evidence-01/records/exp1-result-11.json</x:v>
      </x:c>
    </x:row>
    <x:row r="20" ht="28" customHeight="1">
      <x:c r="E20" s="9" t="n">
        <x:v>1</x:v>
      </x:c>
      <x:c r="F20" s="9" t="n">
        <x:v>12</x:v>
      </x:c>
      <x:c r="G20" s="9" t="n">
        <x:v>48</x:v>
      </x:c>
      <x:c r="H20" s="9" t="n">
        <x:v>90</x:v>
      </x:c>
      <x:c r="I20" s="13" t="n">
        <x:v>0.9</x:v>
      </x:c>
      <x:c r="J20" s="9" t="n">
        <x:v>9</x:v>
      </x:c>
      <x:c r="K20" s="9" t="n">
        <x:v>1</x:v>
      </x:c>
      <x:c r="L20" s="9" t="n">
        <x:v>1</x:v>
      </x:c>
      <x:c r="M20" s="13" t="n">
        <x:v>0.11</x:v>
      </x:c>
      <x:c r="N20" s="9" t="str">
        <x:v>26-10-26/exp1-perplexity/evidence-01/records/exp1-result-12.json</x:v>
      </x:c>
    </x:row>
    <x:row r="21" ht="28" customHeight="1">
      <x:c r="E21" s="9" t="n">
        <x:v>1</x:v>
      </x:c>
      <x:c r="F21" s="9" t="n">
        <x:v>13</x:v>
      </x:c>
      <x:c r="G21" s="9" t="n">
        <x:v>48</x:v>
      </x:c>
      <x:c r="H21" s="9" t="n">
        <x:v>93</x:v>
      </x:c>
      <x:c r="I21" s="13" t="n">
        <x:v>0.93</x:v>
      </x:c>
      <x:c r="J21" s="9" t="n">
        <x:v>6</x:v>
      </x:c>
      <x:c r="K21" s="9" t="n">
        <x:v>1</x:v>
      </x:c>
      <x:c r="L21" s="9" t="n">
        <x:v>1</x:v>
      </x:c>
      <x:c r="M21" s="13" t="n">
        <x:v>0.08</x:v>
      </x:c>
      <x:c r="N21" s="9" t="str">
        <x:v>26-10-26/exp1-perplexity/evidence-01/records/exp1-result-13.json</x:v>
      </x:c>
    </x:row>
    <x:row r="22" ht="28" customHeight="1">
      <x:c r="E22" s="9" t="n">
        <x:v>1</x:v>
      </x:c>
      <x:c r="F22" s="9" t="n">
        <x:v>14</x:v>
      </x:c>
      <x:c r="G22" s="9" t="n">
        <x:v>48</x:v>
      </x:c>
      <x:c r="H22" s="9" t="n">
        <x:v>94</x:v>
      </x:c>
      <x:c r="I22" s="13" t="n">
        <x:v>0.94</x:v>
      </x:c>
      <x:c r="J22" s="9" t="n">
        <x:v>3</x:v>
      </x:c>
      <x:c r="K22" s="9" t="n">
        <x:v>3</x:v>
      </x:c>
      <x:c r="L22" s="9" t="n">
        <x:v>0</x:v>
      </x:c>
      <x:c r="M22" s="13" t="n">
        <x:v>0.06</x:v>
      </x:c>
      <x:c r="N22" s="9" t="str">
        <x:v>26-10-26/exp1-perplexity/evidence-01/records/exp1-result-14.json</x:v>
      </x:c>
    </x:row>
    <x:row r="23" ht="28" customHeight="1">
      <x:c r="E23" s="9" t="n">
        <x:v>1</x:v>
      </x:c>
      <x:c r="F23" s="9" t="n">
        <x:v>15</x:v>
      </x:c>
      <x:c r="G23" s="9" t="n">
        <x:v>48</x:v>
      </x:c>
      <x:c r="H23" s="9" t="n">
        <x:v>93</x:v>
      </x:c>
      <x:c r="I23" s="13" t="n">
        <x:v>0.93</x:v>
      </x:c>
      <x:c r="J23" s="9" t="n">
        <x:v>6</x:v>
      </x:c>
      <x:c r="K23" s="9" t="n">
        <x:v>1</x:v>
      </x:c>
      <x:c r="L23" s="9" t="n">
        <x:v>2</x:v>
      </x:c>
      <x:c r="M23" s="13" t="n">
        <x:v>0.09</x:v>
      </x:c>
      <x:c r="N23" s="9" t="str">
        <x:v>26-10-26/exp1-perplexity/evidence-01/records/exp1-result-15.json</x:v>
      </x:c>
    </x:row>
    <x:row r="24" ht="28" customHeight="1">
      <x:c r="E24" s="9" t="n">
        <x:v>1</x:v>
      </x:c>
      <x:c r="F24" s="9" t="n">
        <x:v>16</x:v>
      </x:c>
      <x:c r="G24" s="9" t="n">
        <x:v>48</x:v>
      </x:c>
      <x:c r="H24" s="9" t="n">
        <x:v>92</x:v>
      </x:c>
      <x:c r="I24" s="13" t="n">
        <x:v>0.92</x:v>
      </x:c>
      <x:c r="J24" s="9" t="n">
        <x:v>7</x:v>
      </x:c>
      <x:c r="K24" s="9" t="n">
        <x:v>1</x:v>
      </x:c>
      <x:c r="L24" s="9" t="n">
        <x:v>1</x:v>
      </x:c>
      <x:c r="M24" s="13" t="n">
        <x:v>0.09</x:v>
      </x:c>
      <x:c r="N24" s="9" t="str">
        <x:v>26-10-26/exp1-perplexity/evidence-01/records/exp1-result-16.json</x:v>
      </x:c>
    </x:row>
    <x:row r="25" ht="28" customHeight="1">
      <x:c r="E25" s="9" t="n">
        <x:v>1</x:v>
      </x:c>
      <x:c r="F25" s="9" t="n">
        <x:v>17</x:v>
      </x:c>
      <x:c r="G25" s="9" t="n">
        <x:v>48</x:v>
      </x:c>
      <x:c r="H25" s="9" t="n">
        <x:v>95</x:v>
      </x:c>
      <x:c r="I25" s="13" t="n">
        <x:v>0.95</x:v>
      </x:c>
      <x:c r="J25" s="9" t="n">
        <x:v>5</x:v>
      </x:c>
      <x:c r="K25" s="9" t="n">
        <x:v>0</x:v>
      </x:c>
      <x:c r="L25" s="9" t="n">
        <x:v>0</x:v>
      </x:c>
      <x:c r="M25" s="13" t="n">
        <x:v>0.05</x:v>
      </x:c>
      <x:c r="N25" s="9" t="str">
        <x:v>26-10-26/exp1-perplexity/evidence-01/records/exp1-result-17.json</x:v>
      </x:c>
    </x:row>
    <x:row r="26" ht="28" customHeight="1">
      <x:c r="E26" s="9" t="n">
        <x:v>1</x:v>
      </x:c>
      <x:c r="F26" s="9" t="n">
        <x:v>18</x:v>
      </x:c>
      <x:c r="G26" s="9" t="n">
        <x:v>48</x:v>
      </x:c>
      <x:c r="H26" s="9" t="n">
        <x:v>98</x:v>
      </x:c>
      <x:c r="I26" s="13" t="n">
        <x:v>0.98</x:v>
      </x:c>
      <x:c r="J26" s="9" t="n">
        <x:v>2</x:v>
      </x:c>
      <x:c r="K26" s="9" t="n">
        <x:v>0</x:v>
      </x:c>
      <x:c r="L26" s="9" t="n">
        <x:v>0</x:v>
      </x:c>
      <x:c r="M26" s="13" t="n">
        <x:v>0.02</x:v>
      </x:c>
      <x:c r="N26" s="9" t="str">
        <x:v>26-10-26/exp1-perplexity/evidence-01/records/exp1-result-18.json</x:v>
      </x:c>
    </x:row>
    <x:row r="27" ht="28" customHeight="1">
      <x:c r="E27" s="9" t="n">
        <x:v>1</x:v>
      </x:c>
      <x:c r="F27" s="9" t="n">
        <x:v>19</x:v>
      </x:c>
      <x:c r="G27" s="9" t="n">
        <x:v>48</x:v>
      </x:c>
      <x:c r="H27" s="9" t="n">
        <x:v>94</x:v>
      </x:c>
      <x:c r="I27" s="13" t="n">
        <x:v>0.94</x:v>
      </x:c>
      <x:c r="J27" s="9" t="n">
        <x:v>5</x:v>
      </x:c>
      <x:c r="K27" s="9" t="n">
        <x:v>1</x:v>
      </x:c>
      <x:c r="L27" s="9" t="n">
        <x:v>0</x:v>
      </x:c>
      <x:c r="M27" s="13" t="n">
        <x:v>0.06</x:v>
      </x:c>
      <x:c r="N27" s="9" t="str">
        <x:v>26-10-26/exp1-perplexity/evidence-01/records/exp1-result-19.json</x:v>
      </x:c>
    </x:row>
    <x:row r="28" ht="28" customHeight="1">
      <x:c r="E28" s="9" t="n">
        <x:v>1</x:v>
      </x:c>
      <x:c r="F28" s="9" t="n">
        <x:v>20</x:v>
      </x:c>
      <x:c r="G28" s="9" t="n">
        <x:v>48</x:v>
      </x:c>
      <x:c r="H28" s="9" t="n">
        <x:v>98</x:v>
      </x:c>
      <x:c r="I28" s="13" t="n">
        <x:v>0.98</x:v>
      </x:c>
      <x:c r="J28" s="9" t="n">
        <x:v>1</x:v>
      </x:c>
      <x:c r="K28" s="9" t="n">
        <x:v>1</x:v>
      </x:c>
      <x:c r="L28" s="9" t="n">
        <x:v>0</x:v>
      </x:c>
      <x:c r="M28" s="13" t="n">
        <x:v>0.02</x:v>
      </x:c>
      <x:c r="N28" s="9" t="str">
        <x:v>26-10-26/exp1-perplexity/evidence-01/records/exp1-result-20.json</x:v>
      </x:c>
    </x:row>
    <x:row r="29" ht="28" customHeight="1">
      <x:c r="E29" s="9" t="n">
        <x:v>1</x:v>
      </x:c>
      <x:c r="F29" s="9" t="n">
        <x:v>21</x:v>
      </x:c>
      <x:c r="G29" s="9" t="n">
        <x:v>48</x:v>
      </x:c>
      <x:c r="H29" s="9" t="n">
        <x:v>97</x:v>
      </x:c>
      <x:c r="I29" s="13" t="n">
        <x:v>0.97</x:v>
      </x:c>
      <x:c r="J29" s="9" t="n">
        <x:v>3</x:v>
      </x:c>
      <x:c r="K29" s="9" t="n">
        <x:v>0</x:v>
      </x:c>
      <x:c r="L29" s="9" t="n">
        <x:v>0</x:v>
      </x:c>
      <x:c r="M29" s="13" t="n">
        <x:v>0.03</x:v>
      </x:c>
      <x:c r="N29" s="9" t="str">
        <x:v>26-10-26/exp1-perplexity/evidence-01/records/exp1-result-21.json</x:v>
      </x:c>
    </x:row>
    <x:row r="30" ht="28" customHeight="1">
      <x:c r="E30" s="9" t="n">
        <x:v>1</x:v>
      </x:c>
      <x:c r="F30" s="9" t="n">
        <x:v>22</x:v>
      </x:c>
      <x:c r="G30" s="9" t="n">
        <x:v>48</x:v>
      </x:c>
      <x:c r="H30" s="9" t="n">
        <x:v>97</x:v>
      </x:c>
      <x:c r="I30" s="13" t="n">
        <x:v>0.97</x:v>
      </x:c>
      <x:c r="J30" s="9" t="n">
        <x:v>3</x:v>
      </x:c>
      <x:c r="K30" s="9" t="n">
        <x:v>0</x:v>
      </x:c>
      <x:c r="L30" s="9" t="n">
        <x:v>0</x:v>
      </x:c>
      <x:c r="M30" s="13" t="n">
        <x:v>0.03</x:v>
      </x:c>
      <x:c r="N30" s="9" t="str">
        <x:v>26-10-26/exp1-perplexity/evidence-01/records/exp1-result-22.json</x:v>
      </x:c>
    </x:row>
    <x:row r="31" ht="28" customHeight="1">
      <x:c r="E31" s="9" t="n">
        <x:v>1</x:v>
      </x:c>
      <x:c r="F31" s="9" t="n">
        <x:v>23</x:v>
      </x:c>
      <x:c r="G31" s="9" t="n">
        <x:v>48</x:v>
      </x:c>
      <x:c r="H31" s="9" t="n">
        <x:v>97</x:v>
      </x:c>
      <x:c r="I31" s="13" t="n">
        <x:v>0.97</x:v>
      </x:c>
      <x:c r="J31" s="9" t="n">
        <x:v>3</x:v>
      </x:c>
      <x:c r="K31" s="9" t="n">
        <x:v>0</x:v>
      </x:c>
      <x:c r="L31" s="9" t="n">
        <x:v>0</x:v>
      </x:c>
      <x:c r="M31" s="13" t="n">
        <x:v>0.03</x:v>
      </x:c>
      <x:c r="N31" s="9" t="str">
        <x:v>26-10-26/exp1-perplexity/evidence-01/records/exp1-result-23.json</x:v>
      </x:c>
    </x:row>
    <x:row r="32" ht="28" customHeight="1">
      <x:c r="E32" s="9" t="n">
        <x:v>1</x:v>
      </x:c>
      <x:c r="F32" s="9" t="n">
        <x:v>24</x:v>
      </x:c>
      <x:c r="G32" s="9" t="n">
        <x:v>48</x:v>
      </x:c>
      <x:c r="H32" s="9" t="n">
        <x:v>98</x:v>
      </x:c>
      <x:c r="I32" s="13" t="n">
        <x:v>0.98</x:v>
      </x:c>
      <x:c r="J32" s="9" t="n">
        <x:v>2</x:v>
      </x:c>
      <x:c r="K32" s="9" t="n">
        <x:v>0</x:v>
      </x:c>
      <x:c r="L32" s="9" t="n">
        <x:v>0</x:v>
      </x:c>
      <x:c r="M32" s="13" t="n">
        <x:v>0.02</x:v>
      </x:c>
      <x:c r="N32" s="9" t="str">
        <x:v>26-10-26/exp1-perplexity/evidence-01/records/exp1-result-24.json</x:v>
      </x:c>
    </x:row>
    <x:row r="33" ht="28" customHeight="1">
      <x:c r="E33" s="9" t="n">
        <x:v>1</x:v>
      </x:c>
      <x:c r="F33" s="9" t="n">
        <x:v>25</x:v>
      </x:c>
      <x:c r="G33" s="9" t="n">
        <x:v>48</x:v>
      </x:c>
      <x:c r="H33" s="9" t="n">
        <x:v>96</x:v>
      </x:c>
      <x:c r="I33" s="13" t="n">
        <x:v>0.96</x:v>
      </x:c>
      <x:c r="J33" s="9" t="n">
        <x:v>3</x:v>
      </x:c>
      <x:c r="K33" s="9" t="n">
        <x:v>1</x:v>
      </x:c>
      <x:c r="L33" s="9" t="n">
        <x:v>0</x:v>
      </x:c>
      <x:c r="M33" s="13" t="n">
        <x:v>0.04</x:v>
      </x:c>
      <x:c r="N33" s="9" t="str">
        <x:v>26-10-26/exp1-perplexity/evidence-01/records/exp1-result-25.json</x:v>
      </x:c>
    </x:row>
    <x:row r="34" ht="28" customHeight="1">
      <x:c r="E34" s="9" t="n">
        <x:v>1</x:v>
      </x:c>
      <x:c r="F34" s="9" t="n">
        <x:v>26</x:v>
      </x:c>
      <x:c r="G34" s="9" t="n">
        <x:v>48</x:v>
      </x:c>
      <x:c r="H34" s="9" t="n">
        <x:v>98</x:v>
      </x:c>
      <x:c r="I34" s="13" t="n">
        <x:v>0.98</x:v>
      </x:c>
      <x:c r="J34" s="9" t="n">
        <x:v>2</x:v>
      </x:c>
      <x:c r="K34" s="9" t="n">
        <x:v>0</x:v>
      </x:c>
      <x:c r="L34" s="9" t="n">
        <x:v>0</x:v>
      </x:c>
      <x:c r="M34" s="13" t="n">
        <x:v>0.02</x:v>
      </x:c>
      <x:c r="N34" s="9" t="str">
        <x:v>26-10-26/exp1-perplexity/evidence-01/records/exp1-result-26.json</x:v>
      </x:c>
    </x:row>
    <x:row r="35" ht="28" customHeight="1">
      <x:c r="E35" s="9" t="n">
        <x:v>1</x:v>
      </x:c>
      <x:c r="F35" s="9" t="n">
        <x:v>27</x:v>
      </x:c>
      <x:c r="G35" s="9" t="n">
        <x:v>48</x:v>
      </x:c>
      <x:c r="H35" s="9" t="n">
        <x:v>96</x:v>
      </x:c>
      <x:c r="I35" s="13" t="n">
        <x:v>0.96</x:v>
      </x:c>
      <x:c r="J35" s="9" t="n">
        <x:v>4</x:v>
      </x:c>
      <x:c r="K35" s="9" t="n">
        <x:v>0</x:v>
      </x:c>
      <x:c r="L35" s="9" t="n">
        <x:v>0</x:v>
      </x:c>
      <x:c r="M35" s="13" t="n">
        <x:v>0.04</x:v>
      </x:c>
      <x:c r="N35" s="9" t="str">
        <x:v>26-10-26/exp1-perplexity/evidence-01/records/exp1-result-27.json</x:v>
      </x:c>
    </x:row>
    <x:row r="36" ht="28" customHeight="1">
      <x:c r="E36" s="9" t="n">
        <x:v>1</x:v>
      </x:c>
      <x:c r="F36" s="9" t="n">
        <x:v>28</x:v>
      </x:c>
      <x:c r="G36" s="9" t="n">
        <x:v>48</x:v>
      </x:c>
      <x:c r="H36" s="9" t="n">
        <x:v>98</x:v>
      </x:c>
      <x:c r="I36" s="13" t="n">
        <x:v>0.98</x:v>
      </x:c>
      <x:c r="J36" s="9" t="n">
        <x:v>2</x:v>
      </x:c>
      <x:c r="K36" s="9" t="n">
        <x:v>0</x:v>
      </x:c>
      <x:c r="L36" s="9" t="n">
        <x:v>1</x:v>
      </x:c>
      <x:c r="M36" s="13" t="n">
        <x:v>0.03</x:v>
      </x:c>
      <x:c r="N36" s="9" t="str">
        <x:v>26-10-26/exp1-perplexity/evidence-01/records/exp1-result-28.json</x:v>
      </x:c>
    </x:row>
    <x:row r="37" ht="28" customHeight="1">
      <x:c r="E37" s="9" t="n">
        <x:v>1</x:v>
      </x:c>
      <x:c r="F37" s="9" t="n">
        <x:v>29</x:v>
      </x:c>
      <x:c r="G37" s="9" t="n">
        <x:v>48</x:v>
      </x:c>
      <x:c r="H37" s="9" t="n">
        <x:v>97</x:v>
      </x:c>
      <x:c r="I37" s="13" t="n">
        <x:v>0.97</x:v>
      </x:c>
      <x:c r="J37" s="9" t="n">
        <x:v>3</x:v>
      </x:c>
      <x:c r="K37" s="9" t="n">
        <x:v>0</x:v>
      </x:c>
      <x:c r="L37" s="9" t="n">
        <x:v>1</x:v>
      </x:c>
      <x:c r="M37" s="13" t="n">
        <x:v>0.04</x:v>
      </x:c>
      <x:c r="N37" s="9" t="str">
        <x:v>26-10-26/exp1-perplexity/evidence-01/records/exp1-result-29.json</x:v>
      </x:c>
    </x:row>
    <x:row r="38" ht="28" customHeight="1">
      <x:c r="E38" s="9" t="n">
        <x:v>1</x:v>
      </x:c>
      <x:c r="F38" s="9" t="n">
        <x:v>30</x:v>
      </x:c>
      <x:c r="G38" s="9" t="n">
        <x:v>48</x:v>
      </x:c>
      <x:c r="H38" s="9" t="n">
        <x:v>97</x:v>
      </x:c>
      <x:c r="I38" s="13" t="n">
        <x:v>0.97</x:v>
      </x:c>
      <x:c r="J38" s="9" t="n">
        <x:v>3</x:v>
      </x:c>
      <x:c r="K38" s="9" t="n">
        <x:v>0</x:v>
      </x:c>
      <x:c r="L38" s="9" t="n">
        <x:v>0</x:v>
      </x:c>
      <x:c r="M38" s="13" t="n">
        <x:v>0.03</x:v>
      </x:c>
      <x:c r="N38" s="9" t="str">
        <x:v>26-10-26/exp1-perplexity/evidence-01/records/exp1-result-30.json</x:v>
      </x:c>
    </x:row>
    <x:row r="39" ht="28" customHeight="1">
      <x:c r="E39" s="9" t="n">
        <x:v>1</x:v>
      </x:c>
      <x:c r="F39" s="9" t="n">
        <x:v>31</x:v>
      </x:c>
      <x:c r="G39" s="9" t="n">
        <x:v>48</x:v>
      </x:c>
      <x:c r="H39" s="9" t="n">
        <x:v>99</x:v>
      </x:c>
      <x:c r="I39" s="13" t="n">
        <x:v>0.99</x:v>
      </x:c>
      <x:c r="J39" s="9" t="n">
        <x:v>1</x:v>
      </x:c>
      <x:c r="K39" s="9" t="n">
        <x:v>0</x:v>
      </x:c>
      <x:c r="L39" s="9" t="n">
        <x:v>0</x:v>
      </x:c>
      <x:c r="M39" s="13" t="n">
        <x:v>0.01</x:v>
      </x:c>
      <x:c r="N39" s="9" t="str">
        <x:v>26-10-26/exp1-perplexity/evidence-01/records/exp1-result-31.json</x:v>
      </x:c>
    </x:row>
    <x:row r="40" ht="28" customHeight="1">
      <x:c r="E40" s="9" t="n">
        <x:v>1</x:v>
      </x:c>
      <x:c r="F40" s="9" t="n">
        <x:v>32</x:v>
      </x:c>
      <x:c r="G40" s="9" t="n">
        <x:v>48</x:v>
      </x:c>
      <x:c r="H40" s="9" t="n">
        <x:v>97</x:v>
      </x:c>
      <x:c r="I40" s="13" t="n">
        <x:v>0.97</x:v>
      </x:c>
      <x:c r="J40" s="9" t="n">
        <x:v>2</x:v>
      </x:c>
      <x:c r="K40" s="9" t="n">
        <x:v>1</x:v>
      </x:c>
      <x:c r="L40" s="9" t="n">
        <x:v>0</x:v>
      </x:c>
      <x:c r="M40" s="13" t="n">
        <x:v>0.03</x:v>
      </x:c>
      <x:c r="N40" s="9" t="str">
        <x:v>26-10-26/exp1-perplexity/evidence-01/records/exp1-result-32.json</x:v>
      </x:c>
    </x:row>
    <x:row r="41" ht="28" customHeight="1">
      <x:c r="E41" s="9" t="n">
        <x:v>2</x:v>
      </x:c>
      <x:c r="F41" s="9" t="n">
        <x:v>1</x:v>
      </x:c>
      <x:c r="G41" s="9" t="n">
        <x:v>48</x:v>
      </x:c>
      <x:c r="H41" s="9" t="n">
        <x:v>0</x:v>
      </x:c>
      <x:c r="I41" s="13" t="n">
        <x:v>0</x:v>
      </x:c>
      <x:c r="J41" s="9" t="n">
        <x:v>0</x:v>
      </x:c>
      <x:c r="K41" s="9" t="n">
        <x:v>100</x:v>
      </x:c>
      <x:c r="L41" s="9" t="n">
        <x:v>0</x:v>
      </x:c>
      <x:c r="M41" s="13" t="n">
        <x:v>1</x:v>
      </x:c>
      <x:c r="N41" s="9" t="str">
        <x:v>26-10-26/exp1-perplexity/evidence-02/records/exp1-result-1.json</x:v>
      </x:c>
    </x:row>
    <x:row r="42" ht="28" customHeight="1">
      <x:c r="E42" s="9" t="n">
        <x:v>2</x:v>
      </x:c>
      <x:c r="F42" s="9" t="n">
        <x:v>2</x:v>
      </x:c>
      <x:c r="G42" s="9" t="n">
        <x:v>48</x:v>
      </x:c>
      <x:c r="H42" s="9" t="n">
        <x:v>0</x:v>
      </x:c>
      <x:c r="I42" s="13" t="n">
        <x:v>0</x:v>
      </x:c>
      <x:c r="J42" s="9" t="n">
        <x:v>0</x:v>
      </x:c>
      <x:c r="K42" s="9" t="n">
        <x:v>100</x:v>
      </x:c>
      <x:c r="L42" s="9" t="n">
        <x:v>0</x:v>
      </x:c>
      <x:c r="M42" s="13" t="n">
        <x:v>1</x:v>
      </x:c>
      <x:c r="N42" s="9" t="str">
        <x:v>26-10-26/exp1-perplexity/evidence-02/records/exp1-result-2.json</x:v>
      </x:c>
    </x:row>
    <x:row r="43" ht="28" customHeight="1">
      <x:c r="E43" s="9" t="n">
        <x:v>2</x:v>
      </x:c>
      <x:c r="F43" s="9" t="n">
        <x:v>3</x:v>
      </x:c>
      <x:c r="G43" s="9" t="n">
        <x:v>48</x:v>
      </x:c>
      <x:c r="H43" s="9" t="n">
        <x:v>0</x:v>
      </x:c>
      <x:c r="I43" s="13" t="n">
        <x:v>0</x:v>
      </x:c>
      <x:c r="J43" s="9" t="n">
        <x:v>0</x:v>
      </x:c>
      <x:c r="K43" s="9" t="n">
        <x:v>100</x:v>
      </x:c>
      <x:c r="L43" s="9" t="n">
        <x:v>0</x:v>
      </x:c>
      <x:c r="M43" s="13" t="n">
        <x:v>1</x:v>
      </x:c>
      <x:c r="N43" s="9" t="str">
        <x:v>26-10-26/exp1-perplexity/evidence-02/records/exp1-result-3.json</x:v>
      </x:c>
    </x:row>
    <x:row r="44" ht="28" customHeight="1">
      <x:c r="E44" s="9" t="n">
        <x:v>2</x:v>
      </x:c>
      <x:c r="F44" s="9" t="n">
        <x:v>4</x:v>
      </x:c>
      <x:c r="G44" s="9" t="n">
        <x:v>48</x:v>
      </x:c>
      <x:c r="H44" s="9" t="n">
        <x:v>0</x:v>
      </x:c>
      <x:c r="I44" s="13" t="n">
        <x:v>0</x:v>
      </x:c>
      <x:c r="J44" s="9" t="n">
        <x:v>0</x:v>
      </x:c>
      <x:c r="K44" s="9" t="n">
        <x:v>100</x:v>
      </x:c>
      <x:c r="L44" s="9" t="n">
        <x:v>0</x:v>
      </x:c>
      <x:c r="M44" s="13" t="n">
        <x:v>1</x:v>
      </x:c>
      <x:c r="N44" s="9" t="str">
        <x:v>26-10-26/exp1-perplexity/evidence-02/records/exp1-result-4.json</x:v>
      </x:c>
    </x:row>
    <x:row r="45" ht="28" customHeight="1">
      <x:c r="E45" s="9" t="n">
        <x:v>2</x:v>
      </x:c>
      <x:c r="F45" s="9" t="n">
        <x:v>5</x:v>
      </x:c>
      <x:c r="G45" s="9" t="n">
        <x:v>48</x:v>
      </x:c>
      <x:c r="H45" s="9" t="n">
        <x:v>0</x:v>
      </x:c>
      <x:c r="I45" s="13" t="n">
        <x:v>0</x:v>
      </x:c>
      <x:c r="J45" s="9" t="n">
        <x:v>0</x:v>
      </x:c>
      <x:c r="K45" s="9" t="n">
        <x:v>100</x:v>
      </x:c>
      <x:c r="L45" s="9" t="n">
        <x:v>0</x:v>
      </x:c>
      <x:c r="M45" s="13" t="n">
        <x:v>1</x:v>
      </x:c>
      <x:c r="N45" s="9" t="str">
        <x:v>26-10-26/exp1-perplexity/evidence-02/records/exp1-result-5.json</x:v>
      </x:c>
    </x:row>
    <x:row r="46" ht="28" customHeight="1">
      <x:c r="E46" s="9" t="n">
        <x:v>2</x:v>
      </x:c>
      <x:c r="F46" s="9" t="n">
        <x:v>6</x:v>
      </x:c>
      <x:c r="G46" s="9" t="n">
        <x:v>48</x:v>
      </x:c>
      <x:c r="H46" s="9" t="n">
        <x:v>0</x:v>
      </x:c>
      <x:c r="I46" s="13" t="n">
        <x:v>0</x:v>
      </x:c>
      <x:c r="J46" s="9" t="n">
        <x:v>0</x:v>
      </x:c>
      <x:c r="K46" s="9" t="n">
        <x:v>100</x:v>
      </x:c>
      <x:c r="L46" s="9" t="n">
        <x:v>0</x:v>
      </x:c>
      <x:c r="M46" s="13" t="n">
        <x:v>1</x:v>
      </x:c>
      <x:c r="N46" s="9" t="str">
        <x:v>26-10-26/exp1-perplexity/evidence-02/records/exp1-result-6.json</x:v>
      </x:c>
    </x:row>
    <x:row r="47" ht="28" customHeight="1">
      <x:c r="E47" s="9" t="n">
        <x:v>2</x:v>
      </x:c>
      <x:c r="F47" s="9" t="n">
        <x:v>7</x:v>
      </x:c>
      <x:c r="G47" s="9" t="n">
        <x:v>48</x:v>
      </x:c>
      <x:c r="H47" s="9" t="n">
        <x:v>0</x:v>
      </x:c>
      <x:c r="I47" s="13" t="n">
        <x:v>0</x:v>
      </x:c>
      <x:c r="J47" s="9" t="n">
        <x:v>0</x:v>
      </x:c>
      <x:c r="K47" s="9" t="n">
        <x:v>100</x:v>
      </x:c>
      <x:c r="L47" s="9" t="n">
        <x:v>0</x:v>
      </x:c>
      <x:c r="M47" s="13" t="n">
        <x:v>1</x:v>
      </x:c>
      <x:c r="N47" s="9" t="str">
        <x:v>26-10-26/exp1-perplexity/evidence-02/records/exp1-result-7.json</x:v>
      </x:c>
    </x:row>
    <x:row r="48" ht="28" customHeight="1">
      <x:c r="E48" s="9" t="n">
        <x:v>2</x:v>
      </x:c>
      <x:c r="F48" s="9" t="n">
        <x:v>8</x:v>
      </x:c>
      <x:c r="G48" s="9" t="n">
        <x:v>48</x:v>
      </x:c>
      <x:c r="H48" s="9" t="n">
        <x:v>72</x:v>
      </x:c>
      <x:c r="I48" s="13" t="n">
        <x:v>0.72</x:v>
      </x:c>
      <x:c r="J48" s="9" t="n">
        <x:v>22</x:v>
      </x:c>
      <x:c r="K48" s="9" t="n">
        <x:v>6</x:v>
      </x:c>
      <x:c r="L48" s="9" t="n">
        <x:v>1</x:v>
      </x:c>
      <x:c r="M48" s="13" t="n">
        <x:v>0.29</x:v>
      </x:c>
      <x:c r="N48" s="9" t="str">
        <x:v>26-10-26/exp1-perplexity/evidence-02/records/exp1-result-8.json</x:v>
      </x:c>
    </x:row>
    <x:row r="49" ht="28" customHeight="1">
      <x:c r="E49" s="9" t="n">
        <x:v>2</x:v>
      </x:c>
      <x:c r="F49" s="9" t="n">
        <x:v>9</x:v>
      </x:c>
      <x:c r="G49" s="9" t="n">
        <x:v>48</x:v>
      </x:c>
      <x:c r="H49" s="9" t="n">
        <x:v>78</x:v>
      </x:c>
      <x:c r="I49" s="13" t="n">
        <x:v>0.78</x:v>
      </x:c>
      <x:c r="J49" s="9" t="n">
        <x:v>15</x:v>
      </x:c>
      <x:c r="K49" s="9" t="n">
        <x:v>7</x:v>
      </x:c>
      <x:c r="L49" s="9" t="n">
        <x:v>0</x:v>
      </x:c>
      <x:c r="M49" s="13" t="n">
        <x:v>0.22</x:v>
      </x:c>
      <x:c r="N49" s="9" t="str">
        <x:v>26-10-26/exp1-perplexity/evidence-02/records/exp1-result-9.json</x:v>
      </x:c>
    </x:row>
    <x:row r="50" ht="28" customHeight="1">
      <x:c r="E50" s="9" t="n">
        <x:v>2</x:v>
      </x:c>
      <x:c r="F50" s="9" t="n">
        <x:v>10</x:v>
      </x:c>
      <x:c r="G50" s="9" t="n">
        <x:v>48</x:v>
      </x:c>
      <x:c r="H50" s="9" t="n">
        <x:v>87</x:v>
      </x:c>
      <x:c r="I50" s="13" t="n">
        <x:v>0.87</x:v>
      </x:c>
      <x:c r="J50" s="9" t="n">
        <x:v>12</x:v>
      </x:c>
      <x:c r="K50" s="9" t="n">
        <x:v>1</x:v>
      </x:c>
      <x:c r="L50" s="9" t="n">
        <x:v>1</x:v>
      </x:c>
      <x:c r="M50" s="13" t="n">
        <x:v>0.14</x:v>
      </x:c>
      <x:c r="N50" s="9" t="str">
        <x:v>26-10-26/exp1-perplexity/evidence-02/records/exp1-result-10.json</x:v>
      </x:c>
    </x:row>
    <x:row r="51" ht="28" customHeight="1">
      <x:c r="E51" s="9" t="n">
        <x:v>2</x:v>
      </x:c>
      <x:c r="F51" s="9" t="n">
        <x:v>11</x:v>
      </x:c>
      <x:c r="G51" s="9" t="n">
        <x:v>48</x:v>
      </x:c>
      <x:c r="H51" s="9" t="n">
        <x:v>88</x:v>
      </x:c>
      <x:c r="I51" s="13" t="n">
        <x:v>0.88</x:v>
      </x:c>
      <x:c r="J51" s="9" t="n">
        <x:v>10</x:v>
      </x:c>
      <x:c r="K51" s="9" t="n">
        <x:v>2</x:v>
      </x:c>
      <x:c r="L51" s="9" t="n">
        <x:v>2</x:v>
      </x:c>
      <x:c r="M51" s="13" t="n">
        <x:v>0.14</x:v>
      </x:c>
      <x:c r="N51" s="9" t="str">
        <x:v>26-10-26/exp1-perplexity/evidence-02/records/exp1-result-11.json</x:v>
      </x:c>
    </x:row>
    <x:row r="52" ht="28" customHeight="1">
      <x:c r="E52" s="9" t="n">
        <x:v>2</x:v>
      </x:c>
      <x:c r="F52" s="9" t="n">
        <x:v>12</x:v>
      </x:c>
      <x:c r="G52" s="9" t="n">
        <x:v>48</x:v>
      </x:c>
      <x:c r="H52" s="9" t="n">
        <x:v>90</x:v>
      </x:c>
      <x:c r="I52" s="13" t="n">
        <x:v>0.9</x:v>
      </x:c>
      <x:c r="J52" s="9" t="n">
        <x:v>9</x:v>
      </x:c>
      <x:c r="K52" s="9" t="n">
        <x:v>1</x:v>
      </x:c>
      <x:c r="L52" s="9" t="n">
        <x:v>0</x:v>
      </x:c>
      <x:c r="M52" s="13" t="n">
        <x:v>0.1</x:v>
      </x:c>
      <x:c r="N52" s="9" t="str">
        <x:v>26-10-26/exp1-perplexity/evidence-02/records/exp1-result-12.json</x:v>
      </x:c>
    </x:row>
    <x:row r="53" ht="28" customHeight="1">
      <x:c r="E53" s="9" t="n">
        <x:v>2</x:v>
      </x:c>
      <x:c r="F53" s="9" t="n">
        <x:v>13</x:v>
      </x:c>
      <x:c r="G53" s="9" t="n">
        <x:v>48</x:v>
      </x:c>
      <x:c r="H53" s="9" t="n">
        <x:v>87</x:v>
      </x:c>
      <x:c r="I53" s="13" t="n">
        <x:v>0.87</x:v>
      </x:c>
      <x:c r="J53" s="9" t="n">
        <x:v>11</x:v>
      </x:c>
      <x:c r="K53" s="9" t="n">
        <x:v>2</x:v>
      </x:c>
      <x:c r="L53" s="9" t="n">
        <x:v>2</x:v>
      </x:c>
      <x:c r="M53" s="13" t="n">
        <x:v>0.15</x:v>
      </x:c>
      <x:c r="N53" s="9" t="str">
        <x:v>26-10-26/exp1-perplexity/evidence-02/records/exp1-result-13.json</x:v>
      </x:c>
    </x:row>
    <x:row r="54" ht="28" customHeight="1">
      <x:c r="E54" s="9" t="n">
        <x:v>2</x:v>
      </x:c>
      <x:c r="F54" s="9" t="n">
        <x:v>14</x:v>
      </x:c>
      <x:c r="G54" s="9" t="n">
        <x:v>48</x:v>
      </x:c>
      <x:c r="H54" s="9" t="n">
        <x:v>95</x:v>
      </x:c>
      <x:c r="I54" s="13" t="n">
        <x:v>0.95</x:v>
      </x:c>
      <x:c r="J54" s="9" t="n">
        <x:v>3</x:v>
      </x:c>
      <x:c r="K54" s="9" t="n">
        <x:v>2</x:v>
      </x:c>
      <x:c r="L54" s="9" t="n">
        <x:v>1</x:v>
      </x:c>
      <x:c r="M54" s="13" t="n">
        <x:v>0.06</x:v>
      </x:c>
      <x:c r="N54" s="9" t="str">
        <x:v>26-10-26/exp1-perplexity/evidence-02/records/exp1-result-14.json</x:v>
      </x:c>
    </x:row>
    <x:row r="55" ht="28" customHeight="1">
      <x:c r="E55" s="9" t="n">
        <x:v>2</x:v>
      </x:c>
      <x:c r="F55" s="9" t="n">
        <x:v>15</x:v>
      </x:c>
      <x:c r="G55" s="9" t="n">
        <x:v>48</x:v>
      </x:c>
      <x:c r="H55" s="9" t="n">
        <x:v>92</x:v>
      </x:c>
      <x:c r="I55" s="13" t="n">
        <x:v>0.92</x:v>
      </x:c>
      <x:c r="J55" s="9" t="n">
        <x:v>7</x:v>
      </x:c>
      <x:c r="K55" s="9" t="n">
        <x:v>1</x:v>
      </x:c>
      <x:c r="L55" s="9" t="n">
        <x:v>0</x:v>
      </x:c>
      <x:c r="M55" s="13" t="n">
        <x:v>0.08</x:v>
      </x:c>
      <x:c r="N55" s="9" t="str">
        <x:v>26-10-26/exp1-perplexity/evidence-02/records/exp1-result-15.json</x:v>
      </x:c>
    </x:row>
    <x:row r="56" ht="28" customHeight="1">
      <x:c r="E56" s="9" t="n">
        <x:v>2</x:v>
      </x:c>
      <x:c r="F56" s="9" t="n">
        <x:v>16</x:v>
      </x:c>
      <x:c r="G56" s="9" t="n">
        <x:v>48</x:v>
      </x:c>
      <x:c r="H56" s="9" t="n">
        <x:v>94</x:v>
      </x:c>
      <x:c r="I56" s="13" t="n">
        <x:v>0.94</x:v>
      </x:c>
      <x:c r="J56" s="9" t="n">
        <x:v>6</x:v>
      </x:c>
      <x:c r="K56" s="9" t="n">
        <x:v>0</x:v>
      </x:c>
      <x:c r="L56" s="9" t="n">
        <x:v>0</x:v>
      </x:c>
      <x:c r="M56" s="13" t="n">
        <x:v>0.06</x:v>
      </x:c>
      <x:c r="N56" s="9" t="str">
        <x:v>26-10-26/exp1-perplexity/evidence-02/records/exp1-result-16.json</x:v>
      </x:c>
    </x:row>
    <x:row r="57" ht="28" customHeight="1">
      <x:c r="E57" s="9" t="n">
        <x:v>2</x:v>
      </x:c>
      <x:c r="F57" s="9" t="n">
        <x:v>17</x:v>
      </x:c>
      <x:c r="G57" s="9" t="n">
        <x:v>48</x:v>
      </x:c>
      <x:c r="H57" s="9" t="n">
        <x:v>93</x:v>
      </x:c>
      <x:c r="I57" s="13" t="n">
        <x:v>0.93</x:v>
      </x:c>
      <x:c r="J57" s="9" t="n">
        <x:v>6</x:v>
      </x:c>
      <x:c r="K57" s="9" t="n">
        <x:v>1</x:v>
      </x:c>
      <x:c r="L57" s="9" t="n">
        <x:v>1</x:v>
      </x:c>
      <x:c r="M57" s="13" t="n">
        <x:v>0.08</x:v>
      </x:c>
      <x:c r="N57" s="9" t="str">
        <x:v>26-10-26/exp1-perplexity/evidence-02/records/exp1-result-17.json</x:v>
      </x:c>
    </x:row>
    <x:row r="58" ht="28" customHeight="1">
      <x:c r="E58" s="9" t="n">
        <x:v>2</x:v>
      </x:c>
      <x:c r="F58" s="9" t="n">
        <x:v>18</x:v>
      </x:c>
      <x:c r="G58" s="9" t="n">
        <x:v>48</x:v>
      </x:c>
      <x:c r="H58" s="9" t="n">
        <x:v>97</x:v>
      </x:c>
      <x:c r="I58" s="13" t="n">
        <x:v>0.97</x:v>
      </x:c>
      <x:c r="J58" s="9" t="n">
        <x:v>3</x:v>
      </x:c>
      <x:c r="K58" s="9" t="n">
        <x:v>0</x:v>
      </x:c>
      <x:c r="L58" s="9" t="n">
        <x:v>1</x:v>
      </x:c>
      <x:c r="M58" s="13" t="n">
        <x:v>0.04</x:v>
      </x:c>
      <x:c r="N58" s="9" t="str">
        <x:v>26-10-26/exp1-perplexity/evidence-02/records/exp1-result-18.json</x:v>
      </x:c>
    </x:row>
    <x:row r="59" ht="28" customHeight="1">
      <x:c r="E59" s="9" t="n">
        <x:v>2</x:v>
      </x:c>
      <x:c r="F59" s="9" t="n">
        <x:v>19</x:v>
      </x:c>
      <x:c r="G59" s="9" t="n">
        <x:v>48</x:v>
      </x:c>
      <x:c r="H59" s="9" t="n">
        <x:v>95</x:v>
      </x:c>
      <x:c r="I59" s="13" t="n">
        <x:v>0.95</x:v>
      </x:c>
      <x:c r="J59" s="9" t="n">
        <x:v>5</x:v>
      </x:c>
      <x:c r="K59" s="9" t="n">
        <x:v>0</x:v>
      </x:c>
      <x:c r="L59" s="9" t="n">
        <x:v>0</x:v>
      </x:c>
      <x:c r="M59" s="13" t="n">
        <x:v>0.05</x:v>
      </x:c>
      <x:c r="N59" s="9" t="str">
        <x:v>26-10-26/exp1-perplexity/evidence-02/records/exp1-result-19.json</x:v>
      </x:c>
    </x:row>
    <x:row r="60" ht="28" customHeight="1">
      <x:c r="E60" s="9" t="n">
        <x:v>2</x:v>
      </x:c>
      <x:c r="F60" s="9" t="n">
        <x:v>20</x:v>
      </x:c>
      <x:c r="G60" s="9" t="n">
        <x:v>48</x:v>
      </x:c>
      <x:c r="H60" s="9" t="n">
        <x:v>95</x:v>
      </x:c>
      <x:c r="I60" s="13" t="n">
        <x:v>0.95</x:v>
      </x:c>
      <x:c r="J60" s="9" t="n">
        <x:v>5</x:v>
      </x:c>
      <x:c r="K60" s="9" t="n">
        <x:v>0</x:v>
      </x:c>
      <x:c r="L60" s="9" t="n">
        <x:v>1</x:v>
      </x:c>
      <x:c r="M60" s="13" t="n">
        <x:v>0.06</x:v>
      </x:c>
      <x:c r="N60" s="9" t="str">
        <x:v>26-10-26/exp1-perplexity/evidence-02/records/exp1-result-20.json</x:v>
      </x:c>
    </x:row>
    <x:row r="61" ht="28" customHeight="1">
      <x:c r="E61" s="9" t="n">
        <x:v>2</x:v>
      </x:c>
      <x:c r="F61" s="9" t="n">
        <x:v>21</x:v>
      </x:c>
      <x:c r="G61" s="9" t="n">
        <x:v>48</x:v>
      </x:c>
      <x:c r="H61" s="9" t="n">
        <x:v>97</x:v>
      </x:c>
      <x:c r="I61" s="13" t="n">
        <x:v>0.97</x:v>
      </x:c>
      <x:c r="J61" s="9" t="n">
        <x:v>3</x:v>
      </x:c>
      <x:c r="K61" s="9" t="n">
        <x:v>0</x:v>
      </x:c>
      <x:c r="L61" s="9" t="n">
        <x:v>0</x:v>
      </x:c>
      <x:c r="M61" s="13" t="n">
        <x:v>0.03</x:v>
      </x:c>
      <x:c r="N61" s="9" t="str">
        <x:v>26-10-26/exp1-perplexity/evidence-02/records/exp1-result-21.json</x:v>
      </x:c>
    </x:row>
    <x:row r="62" ht="28" customHeight="1">
      <x:c r="E62" s="9" t="n">
        <x:v>2</x:v>
      </x:c>
      <x:c r="F62" s="9" t="n">
        <x:v>22</x:v>
      </x:c>
      <x:c r="G62" s="9" t="n">
        <x:v>48</x:v>
      </x:c>
      <x:c r="H62" s="9" t="n">
        <x:v>95</x:v>
      </x:c>
      <x:c r="I62" s="13" t="n">
        <x:v>0.95</x:v>
      </x:c>
      <x:c r="J62" s="9" t="n">
        <x:v>4</x:v>
      </x:c>
      <x:c r="K62" s="9" t="n">
        <x:v>1</x:v>
      </x:c>
      <x:c r="L62" s="9" t="n">
        <x:v>0</x:v>
      </x:c>
      <x:c r="M62" s="13" t="n">
        <x:v>0.05</x:v>
      </x:c>
      <x:c r="N62" s="9" t="str">
        <x:v>26-10-26/exp1-perplexity/evidence-02/records/exp1-result-22.json</x:v>
      </x:c>
    </x:row>
    <x:row r="63" ht="28" customHeight="1">
      <x:c r="E63" s="9" t="n">
        <x:v>2</x:v>
      </x:c>
      <x:c r="F63" s="9" t="n">
        <x:v>23</x:v>
      </x:c>
      <x:c r="G63" s="9" t="n">
        <x:v>48</x:v>
      </x:c>
      <x:c r="H63" s="9" t="n">
        <x:v>96</x:v>
      </x:c>
      <x:c r="I63" s="13" t="n">
        <x:v>0.96</x:v>
      </x:c>
      <x:c r="J63" s="9" t="n">
        <x:v>4</x:v>
      </x:c>
      <x:c r="K63" s="9" t="n">
        <x:v>0</x:v>
      </x:c>
      <x:c r="L63" s="9" t="n">
        <x:v>0</x:v>
      </x:c>
      <x:c r="M63" s="13" t="n">
        <x:v>0.04</x:v>
      </x:c>
      <x:c r="N63" s="9" t="str">
        <x:v>26-10-26/exp1-perplexity/evidence-02/records/exp1-result-23.json</x:v>
      </x:c>
    </x:row>
    <x:row r="64" ht="28" customHeight="1">
      <x:c r="E64" s="9" t="n">
        <x:v>2</x:v>
      </x:c>
      <x:c r="F64" s="9" t="n">
        <x:v>24</x:v>
      </x:c>
      <x:c r="G64" s="9" t="n">
        <x:v>48</x:v>
      </x:c>
      <x:c r="H64" s="9" t="n">
        <x:v>97</x:v>
      </x:c>
      <x:c r="I64" s="13" t="n">
        <x:v>0.97</x:v>
      </x:c>
      <x:c r="J64" s="9" t="n">
        <x:v>2</x:v>
      </x:c>
      <x:c r="K64" s="9" t="n">
        <x:v>1</x:v>
      </x:c>
      <x:c r="L64" s="9" t="n">
        <x:v>1</x:v>
      </x:c>
      <x:c r="M64" s="13" t="n">
        <x:v>0.04</x:v>
      </x:c>
      <x:c r="N64" s="9" t="str">
        <x:v>26-10-26/exp1-perplexity/evidence-02/records/exp1-result-24.json</x:v>
      </x:c>
    </x:row>
    <x:row r="65" ht="28" customHeight="1">
      <x:c r="E65" s="9" t="n">
        <x:v>2</x:v>
      </x:c>
      <x:c r="F65" s="9" t="n">
        <x:v>25</x:v>
      </x:c>
      <x:c r="G65" s="9" t="n">
        <x:v>48</x:v>
      </x:c>
      <x:c r="H65" s="9" t="n">
        <x:v>97</x:v>
      </x:c>
      <x:c r="I65" s="13" t="n">
        <x:v>0.97</x:v>
      </x:c>
      <x:c r="J65" s="9" t="n">
        <x:v>3</x:v>
      </x:c>
      <x:c r="K65" s="9" t="n">
        <x:v>0</x:v>
      </x:c>
      <x:c r="L65" s="9" t="n">
        <x:v>1</x:v>
      </x:c>
      <x:c r="M65" s="13" t="n">
        <x:v>0.04</x:v>
      </x:c>
      <x:c r="N65" s="9" t="str">
        <x:v>26-10-26/exp1-perplexity/evidence-02/records/exp1-result-25.json</x:v>
      </x:c>
    </x:row>
    <x:row r="66" ht="28" customHeight="1">
      <x:c r="E66" s="9" t="n">
        <x:v>2</x:v>
      </x:c>
      <x:c r="F66" s="9" t="n">
        <x:v>26</x:v>
      </x:c>
      <x:c r="G66" s="9" t="n">
        <x:v>48</x:v>
      </x:c>
      <x:c r="H66" s="9" t="n">
        <x:v>98</x:v>
      </x:c>
      <x:c r="I66" s="13" t="n">
        <x:v>0.98</x:v>
      </x:c>
      <x:c r="J66" s="9" t="n">
        <x:v>2</x:v>
      </x:c>
      <x:c r="K66" s="9" t="n">
        <x:v>0</x:v>
      </x:c>
      <x:c r="L66" s="9" t="n">
        <x:v>0</x:v>
      </x:c>
      <x:c r="M66" s="13" t="n">
        <x:v>0.02</x:v>
      </x:c>
      <x:c r="N66" s="9" t="str">
        <x:v>26-10-26/exp1-perplexity/evidence-02/records/exp1-result-26.json</x:v>
      </x:c>
    </x:row>
    <x:row r="67" ht="28" customHeight="1">
      <x:c r="E67" s="9" t="n">
        <x:v>2</x:v>
      </x:c>
      <x:c r="F67" s="9" t="n">
        <x:v>27</x:v>
      </x:c>
      <x:c r="G67" s="9" t="n">
        <x:v>48</x:v>
      </x:c>
      <x:c r="H67" s="9" t="n">
        <x:v>95</x:v>
      </x:c>
      <x:c r="I67" s="13" t="n">
        <x:v>0.95</x:v>
      </x:c>
      <x:c r="J67" s="9" t="n">
        <x:v>4</x:v>
      </x:c>
      <x:c r="K67" s="9" t="n">
        <x:v>1</x:v>
      </x:c>
      <x:c r="L67" s="9" t="n">
        <x:v>1</x:v>
      </x:c>
      <x:c r="M67" s="13" t="n">
        <x:v>0.06</x:v>
      </x:c>
      <x:c r="N67" s="9" t="str">
        <x:v>26-10-26/exp1-perplexity/evidence-02/records/exp1-result-27.json</x:v>
      </x:c>
    </x:row>
    <x:row r="68" ht="28" customHeight="1">
      <x:c r="E68" s="9" t="n">
        <x:v>2</x:v>
      </x:c>
      <x:c r="F68" s="9" t="n">
        <x:v>28</x:v>
      </x:c>
      <x:c r="G68" s="9" t="n">
        <x:v>48</x:v>
      </x:c>
      <x:c r="H68" s="9" t="n">
        <x:v>98</x:v>
      </x:c>
      <x:c r="I68" s="13" t="n">
        <x:v>0.98</x:v>
      </x:c>
      <x:c r="J68" s="9" t="n">
        <x:v>2</x:v>
      </x:c>
      <x:c r="K68" s="9" t="n">
        <x:v>0</x:v>
      </x:c>
      <x:c r="L68" s="9" t="n">
        <x:v>0</x:v>
      </x:c>
      <x:c r="M68" s="13" t="n">
        <x:v>0.02</x:v>
      </x:c>
      <x:c r="N68" s="9" t="str">
        <x:v>26-10-26/exp1-perplexity/evidence-02/records/exp1-result-28.json</x:v>
      </x:c>
    </x:row>
    <x:row r="69" ht="28" customHeight="1">
      <x:c r="E69" s="9" t="n">
        <x:v>2</x:v>
      </x:c>
      <x:c r="F69" s="9" t="n">
        <x:v>29</x:v>
      </x:c>
      <x:c r="G69" s="9" t="n">
        <x:v>48</x:v>
      </x:c>
      <x:c r="H69" s="9" t="n">
        <x:v>96</x:v>
      </x:c>
      <x:c r="I69" s="13" t="n">
        <x:v>0.96</x:v>
      </x:c>
      <x:c r="J69" s="9" t="n">
        <x:v>3</x:v>
      </x:c>
      <x:c r="K69" s="9" t="n">
        <x:v>1</x:v>
      </x:c>
      <x:c r="L69" s="9" t="n">
        <x:v>2</x:v>
      </x:c>
      <x:c r="M69" s="13" t="n">
        <x:v>0.06</x:v>
      </x:c>
      <x:c r="N69" s="9" t="str">
        <x:v>26-10-26/exp1-perplexity/evidence-02/records/exp1-result-29.json</x:v>
      </x:c>
    </x:row>
    <x:row r="70" ht="28" customHeight="1">
      <x:c r="E70" s="9" t="n">
        <x:v>2</x:v>
      </x:c>
      <x:c r="F70" s="9" t="n">
        <x:v>30</x:v>
      </x:c>
      <x:c r="G70" s="9" t="n">
        <x:v>48</x:v>
      </x:c>
      <x:c r="H70" s="9" t="n">
        <x:v>97</x:v>
      </x:c>
      <x:c r="I70" s="13" t="n">
        <x:v>0.97</x:v>
      </x:c>
      <x:c r="J70" s="9" t="n">
        <x:v>3</x:v>
      </x:c>
      <x:c r="K70" s="9" t="n">
        <x:v>0</x:v>
      </x:c>
      <x:c r="L70" s="9" t="n">
        <x:v>1</x:v>
      </x:c>
      <x:c r="M70" s="13" t="n">
        <x:v>0.04</x:v>
      </x:c>
      <x:c r="N70" s="9" t="str">
        <x:v>26-10-26/exp1-perplexity/evidence-02/records/exp1-result-30.json</x:v>
      </x:c>
    </x:row>
    <x:row r="71" ht="28" customHeight="1">
      <x:c r="E71" s="9" t="n">
        <x:v>2</x:v>
      </x:c>
      <x:c r="F71" s="9" t="n">
        <x:v>31</x:v>
      </x:c>
      <x:c r="G71" s="9" t="n">
        <x:v>48</x:v>
      </x:c>
      <x:c r="H71" s="9" t="n">
        <x:v>97</x:v>
      </x:c>
      <x:c r="I71" s="13" t="n">
        <x:v>0.97</x:v>
      </x:c>
      <x:c r="J71" s="9" t="n">
        <x:v>2</x:v>
      </x:c>
      <x:c r="K71" s="9" t="n">
        <x:v>1</x:v>
      </x:c>
      <x:c r="L71" s="9" t="n">
        <x:v>0</x:v>
      </x:c>
      <x:c r="M71" s="13" t="n">
        <x:v>0.03</x:v>
      </x:c>
      <x:c r="N71" s="9" t="str">
        <x:v>26-10-26/exp1-perplexity/evidence-02/records/exp1-result-31.json</x:v>
      </x:c>
    </x:row>
    <x:row r="72" ht="28" customHeight="1">
      <x:c r="E72" s="9" t="n">
        <x:v>2</x:v>
      </x:c>
      <x:c r="F72" s="9" t="n">
        <x:v>32</x:v>
      </x:c>
      <x:c r="G72" s="9" t="n">
        <x:v>48</x:v>
      </x:c>
      <x:c r="H72" s="9" t="n">
        <x:v>97</x:v>
      </x:c>
      <x:c r="I72" s="13" t="n">
        <x:v>0.97</x:v>
      </x:c>
      <x:c r="J72" s="9" t="n">
        <x:v>2</x:v>
      </x:c>
      <x:c r="K72" s="9" t="n">
        <x:v>1</x:v>
      </x:c>
      <x:c r="L72" s="9" t="n">
        <x:v>0</x:v>
      </x:c>
      <x:c r="M72" s="13" t="n">
        <x:v>0.03</x:v>
      </x:c>
      <x:c r="N72" s="9" t="str">
        <x:v>26-10-26/exp1-perplexity/evidence-02/records/exp1-result-32.json</x:v>
      </x:c>
    </x:row>
    <x:row r="73" ht="28" customHeight="1">
      <x:c r="E73" s="9" t="n">
        <x:v>3</x:v>
      </x:c>
      <x:c r="F73" s="9" t="n">
        <x:v>1</x:v>
      </x:c>
      <x:c r="G73" s="9" t="n">
        <x:v>48</x:v>
      </x:c>
      <x:c r="H73" s="9" t="n">
        <x:v>0</x:v>
      </x:c>
      <x:c r="I73" s="13" t="n">
        <x:v>0</x:v>
      </x:c>
      <x:c r="J73" s="9" t="n">
        <x:v>0</x:v>
      </x:c>
      <x:c r="K73" s="9" t="n">
        <x:v>100</x:v>
      </x:c>
      <x:c r="L73" s="9" t="n">
        <x:v>0</x:v>
      </x:c>
      <x:c r="M73" s="13" t="n">
        <x:v>1</x:v>
      </x:c>
      <x:c r="N73" s="9" t="str">
        <x:v>26-10-26/exp1-perplexity/evidence-03/records/exp1-result-1.json</x:v>
      </x:c>
    </x:row>
    <x:row r="74" ht="28" customHeight="1">
      <x:c r="E74" s="9" t="n">
        <x:v>3</x:v>
      </x:c>
      <x:c r="F74" s="9" t="n">
        <x:v>2</x:v>
      </x:c>
      <x:c r="G74" s="9" t="n">
        <x:v>48</x:v>
      </x:c>
      <x:c r="H74" s="9" t="n">
        <x:v>0</x:v>
      </x:c>
      <x:c r="I74" s="13" t="n">
        <x:v>0</x:v>
      </x:c>
      <x:c r="J74" s="9" t="n">
        <x:v>0</x:v>
      </x:c>
      <x:c r="K74" s="9" t="n">
        <x:v>100</x:v>
      </x:c>
      <x:c r="L74" s="9" t="n">
        <x:v>0</x:v>
      </x:c>
      <x:c r="M74" s="13" t="n">
        <x:v>1</x:v>
      </x:c>
      <x:c r="N74" s="9" t="str">
        <x:v>26-10-26/exp1-perplexity/evidence-03/records/exp1-result-2.json</x:v>
      </x:c>
    </x:row>
    <x:row r="75" ht="28" customHeight="1">
      <x:c r="E75" s="9" t="n">
        <x:v>3</x:v>
      </x:c>
      <x:c r="F75" s="9" t="n">
        <x:v>3</x:v>
      </x:c>
      <x:c r="G75" s="9" t="n">
        <x:v>48</x:v>
      </x:c>
      <x:c r="H75" s="9" t="n">
        <x:v>0</x:v>
      </x:c>
      <x:c r="I75" s="13" t="n">
        <x:v>0</x:v>
      </x:c>
      <x:c r="J75" s="9" t="n">
        <x:v>0</x:v>
      </x:c>
      <x:c r="K75" s="9" t="n">
        <x:v>100</x:v>
      </x:c>
      <x:c r="L75" s="9" t="n">
        <x:v>0</x:v>
      </x:c>
      <x:c r="M75" s="13" t="n">
        <x:v>1</x:v>
      </x:c>
      <x:c r="N75" s="9" t="str">
        <x:v>26-10-26/exp1-perplexity/evidence-03/records/exp1-result-3.json</x:v>
      </x:c>
    </x:row>
    <x:row r="76" ht="28" customHeight="1">
      <x:c r="E76" s="9" t="n">
        <x:v>3</x:v>
      </x:c>
      <x:c r="F76" s="9" t="n">
        <x:v>4</x:v>
      </x:c>
      <x:c r="G76" s="9" t="n">
        <x:v>48</x:v>
      </x:c>
      <x:c r="H76" s="9" t="n">
        <x:v>0</x:v>
      </x:c>
      <x:c r="I76" s="13" t="n">
        <x:v>0</x:v>
      </x:c>
      <x:c r="J76" s="9" t="n">
        <x:v>0</x:v>
      </x:c>
      <x:c r="K76" s="9" t="n">
        <x:v>100</x:v>
      </x:c>
      <x:c r="L76" s="9" t="n">
        <x:v>0</x:v>
      </x:c>
      <x:c r="M76" s="13" t="n">
        <x:v>1</x:v>
      </x:c>
      <x:c r="N76" s="9" t="str">
        <x:v>26-10-26/exp1-perplexity/evidence-03/records/exp1-result-4.json</x:v>
      </x:c>
    </x:row>
    <x:row r="77" ht="28" customHeight="1">
      <x:c r="E77" s="9" t="n">
        <x:v>3</x:v>
      </x:c>
      <x:c r="F77" s="9" t="n">
        <x:v>5</x:v>
      </x:c>
      <x:c r="G77" s="9" t="n">
        <x:v>48</x:v>
      </x:c>
      <x:c r="H77" s="9" t="n">
        <x:v>0</x:v>
      </x:c>
      <x:c r="I77" s="13" t="n">
        <x:v>0</x:v>
      </x:c>
      <x:c r="J77" s="9" t="n">
        <x:v>0</x:v>
      </x:c>
      <x:c r="K77" s="9" t="n">
        <x:v>100</x:v>
      </x:c>
      <x:c r="L77" s="9" t="n">
        <x:v>0</x:v>
      </x:c>
      <x:c r="M77" s="13" t="n">
        <x:v>1</x:v>
      </x:c>
      <x:c r="N77" s="9" t="str">
        <x:v>26-10-26/exp1-perplexity/evidence-03/records/exp1-result-5.json</x:v>
      </x:c>
    </x:row>
    <x:row r="78" ht="28" customHeight="1">
      <x:c r="E78" s="9" t="n">
        <x:v>3</x:v>
      </x:c>
      <x:c r="F78" s="9" t="n">
        <x:v>6</x:v>
      </x:c>
      <x:c r="G78" s="9" t="n">
        <x:v>48</x:v>
      </x:c>
      <x:c r="H78" s="9" t="n">
        <x:v>38</x:v>
      </x:c>
      <x:c r="I78" s="13" t="n">
        <x:v>0.38</x:v>
      </x:c>
      <x:c r="J78" s="9" t="n">
        <x:v>29</x:v>
      </x:c>
      <x:c r="K78" s="9" t="n">
        <x:v>33</x:v>
      </x:c>
      <x:c r="L78" s="9" t="n">
        <x:v>2</x:v>
      </x:c>
      <x:c r="M78" s="13" t="n">
        <x:v>0.64</x:v>
      </x:c>
      <x:c r="N78" s="9" t="str">
        <x:v>26-10-26/exp1-perplexity/evidence-03/records/exp1-result-6.json</x:v>
      </x:c>
    </x:row>
    <x:row r="79" ht="28" customHeight="1">
      <x:c r="E79" s="9" t="n">
        <x:v>3</x:v>
      </x:c>
      <x:c r="F79" s="9" t="n">
        <x:v>7</x:v>
      </x:c>
      <x:c r="G79" s="9" t="n">
        <x:v>48</x:v>
      </x:c>
      <x:c r="H79" s="9" t="n">
        <x:v>64</x:v>
      </x:c>
      <x:c r="I79" s="13" t="n">
        <x:v>0.64</x:v>
      </x:c>
      <x:c r="J79" s="9" t="n">
        <x:v>29</x:v>
      </x:c>
      <x:c r="K79" s="9" t="n">
        <x:v>7</x:v>
      </x:c>
      <x:c r="L79" s="9" t="n">
        <x:v>1</x:v>
      </x:c>
      <x:c r="M79" s="13" t="n">
        <x:v>0.37</x:v>
      </x:c>
      <x:c r="N79" s="9" t="str">
        <x:v>26-10-26/exp1-perplexity/evidence-03/records/exp1-result-7.json</x:v>
      </x:c>
    </x:row>
    <x:row r="80" ht="28" customHeight="1">
      <x:c r="E80" s="9" t="n">
        <x:v>3</x:v>
      </x:c>
      <x:c r="F80" s="9" t="n">
        <x:v>8</x:v>
      </x:c>
      <x:c r="G80" s="9" t="n">
        <x:v>48</x:v>
      </x:c>
      <x:c r="H80" s="9" t="n">
        <x:v>76</x:v>
      </x:c>
      <x:c r="I80" s="13" t="n">
        <x:v>0.76</x:v>
      </x:c>
      <x:c r="J80" s="9" t="n">
        <x:v>18</x:v>
      </x:c>
      <x:c r="K80" s="9" t="n">
        <x:v>6</x:v>
      </x:c>
      <x:c r="L80" s="9" t="n">
        <x:v>3</x:v>
      </x:c>
      <x:c r="M80" s="13" t="n">
        <x:v>0.27</x:v>
      </x:c>
      <x:c r="N80" s="9" t="str">
        <x:v>26-10-26/exp1-perplexity/evidence-03/records/exp1-result-8.json</x:v>
      </x:c>
    </x:row>
    <x:row r="81" ht="28" customHeight="1">
      <x:c r="E81" s="9" t="n">
        <x:v>3</x:v>
      </x:c>
      <x:c r="F81" s="9" t="n">
        <x:v>9</x:v>
      </x:c>
      <x:c r="G81" s="9" t="n">
        <x:v>48</x:v>
      </x:c>
      <x:c r="H81" s="9" t="n">
        <x:v>71</x:v>
      </x:c>
      <x:c r="I81" s="13" t="n">
        <x:v>0.71</x:v>
      </x:c>
      <x:c r="J81" s="9" t="n">
        <x:v>21</x:v>
      </x:c>
      <x:c r="K81" s="9" t="n">
        <x:v>8</x:v>
      </x:c>
      <x:c r="L81" s="9" t="n">
        <x:v>0</x:v>
      </x:c>
      <x:c r="M81" s="13" t="n">
        <x:v>0.29</x:v>
      </x:c>
      <x:c r="N81" s="9" t="str">
        <x:v>26-10-26/exp1-perplexity/evidence-03/records/exp1-result-9.json</x:v>
      </x:c>
    </x:row>
    <x:row r="82" ht="28" customHeight="1">
      <x:c r="E82" s="9" t="n">
        <x:v>3</x:v>
      </x:c>
      <x:c r="F82" s="9" t="n">
        <x:v>10</x:v>
      </x:c>
      <x:c r="G82" s="9" t="n">
        <x:v>48</x:v>
      </x:c>
      <x:c r="H82" s="9" t="n">
        <x:v>85</x:v>
      </x:c>
      <x:c r="I82" s="13" t="n">
        <x:v>0.85</x:v>
      </x:c>
      <x:c r="J82" s="9" t="n">
        <x:v>12</x:v>
      </x:c>
      <x:c r="K82" s="9" t="n">
        <x:v>3</x:v>
      </x:c>
      <x:c r="L82" s="9" t="n">
        <x:v>2</x:v>
      </x:c>
      <x:c r="M82" s="13" t="n">
        <x:v>0.17</x:v>
      </x:c>
      <x:c r="N82" s="9" t="str">
        <x:v>26-10-26/exp1-perplexity/evidence-03/records/exp1-result-10.json</x:v>
      </x:c>
    </x:row>
    <x:row r="83" ht="28" customHeight="1">
      <x:c r="E83" s="9" t="n">
        <x:v>3</x:v>
      </x:c>
      <x:c r="F83" s="9" t="n">
        <x:v>11</x:v>
      </x:c>
      <x:c r="G83" s="9" t="n">
        <x:v>48</x:v>
      </x:c>
      <x:c r="H83" s="9" t="n">
        <x:v>92</x:v>
      </x:c>
      <x:c r="I83" s="13" t="n">
        <x:v>0.92</x:v>
      </x:c>
      <x:c r="J83" s="9" t="n">
        <x:v>8</x:v>
      </x:c>
      <x:c r="K83" s="9" t="n">
        <x:v>0</x:v>
      </x:c>
      <x:c r="L83" s="9" t="n">
        <x:v>0</x:v>
      </x:c>
      <x:c r="M83" s="13" t="n">
        <x:v>0.08</x:v>
      </x:c>
      <x:c r="N83" s="9" t="str">
        <x:v>26-10-26/exp1-perplexity/evidence-03/records/exp1-result-11.json</x:v>
      </x:c>
    </x:row>
    <x:row r="84" ht="28" customHeight="1">
      <x:c r="E84" s="9" t="n">
        <x:v>3</x:v>
      </x:c>
      <x:c r="F84" s="9" t="n">
        <x:v>12</x:v>
      </x:c>
      <x:c r="G84" s="9" t="n">
        <x:v>48</x:v>
      </x:c>
      <x:c r="H84" s="9" t="n">
        <x:v>90</x:v>
      </x:c>
      <x:c r="I84" s="13" t="n">
        <x:v>0.9</x:v>
      </x:c>
      <x:c r="J84" s="9" t="n">
        <x:v>8</x:v>
      </x:c>
      <x:c r="K84" s="9" t="n">
        <x:v>2</x:v>
      </x:c>
      <x:c r="L84" s="9" t="n">
        <x:v>1</x:v>
      </x:c>
      <x:c r="M84" s="13" t="n">
        <x:v>0.11</x:v>
      </x:c>
      <x:c r="N84" s="9" t="str">
        <x:v>26-10-26/exp1-perplexity/evidence-03/records/exp1-result-12.json</x:v>
      </x:c>
    </x:row>
    <x:row r="85" ht="28" customHeight="1">
      <x:c r="E85" s="9" t="n">
        <x:v>3</x:v>
      </x:c>
      <x:c r="F85" s="9" t="n">
        <x:v>13</x:v>
      </x:c>
      <x:c r="G85" s="9" t="n">
        <x:v>48</x:v>
      </x:c>
      <x:c r="H85" s="9" t="n">
        <x:v>87</x:v>
      </x:c>
      <x:c r="I85" s="13" t="n">
        <x:v>0.87</x:v>
      </x:c>
      <x:c r="J85" s="9" t="n">
        <x:v>11</x:v>
      </x:c>
      <x:c r="K85" s="9" t="n">
        <x:v>2</x:v>
      </x:c>
      <x:c r="L85" s="9" t="n">
        <x:v>1</x:v>
      </x:c>
      <x:c r="M85" s="13" t="n">
        <x:v>0.14</x:v>
      </x:c>
      <x:c r="N85" s="9" t="str">
        <x:v>26-10-26/exp1-perplexity/evidence-03/records/exp1-result-13.json</x:v>
      </x:c>
    </x:row>
    <x:row r="86" ht="28" customHeight="1">
      <x:c r="E86" s="9" t="n">
        <x:v>3</x:v>
      </x:c>
      <x:c r="F86" s="9" t="n">
        <x:v>14</x:v>
      </x:c>
      <x:c r="G86" s="9" t="n">
        <x:v>48</x:v>
      </x:c>
      <x:c r="H86" s="9" t="n">
        <x:v>96</x:v>
      </x:c>
      <x:c r="I86" s="13" t="n">
        <x:v>0.96</x:v>
      </x:c>
      <x:c r="J86" s="9" t="n">
        <x:v>3</x:v>
      </x:c>
      <x:c r="K86" s="9" t="n">
        <x:v>1</x:v>
      </x:c>
      <x:c r="L86" s="9" t="n">
        <x:v>0</x:v>
      </x:c>
      <x:c r="M86" s="13" t="n">
        <x:v>0.04</x:v>
      </x:c>
      <x:c r="N86" s="9" t="str">
        <x:v>26-10-26/exp1-perplexity/evidence-03/records/exp1-result-14.json</x:v>
      </x:c>
    </x:row>
    <x:row r="87" ht="28" customHeight="1">
      <x:c r="E87" s="9" t="n">
        <x:v>3</x:v>
      </x:c>
      <x:c r="F87" s="9" t="n">
        <x:v>15</x:v>
      </x:c>
      <x:c r="G87" s="9" t="n">
        <x:v>48</x:v>
      </x:c>
      <x:c r="H87" s="9" t="n">
        <x:v>94</x:v>
      </x:c>
      <x:c r="I87" s="13" t="n">
        <x:v>0.94</x:v>
      </x:c>
      <x:c r="J87" s="9" t="n">
        <x:v>6</x:v>
      </x:c>
      <x:c r="K87" s="9" t="n">
        <x:v>0</x:v>
      </x:c>
      <x:c r="L87" s="9" t="n">
        <x:v>0</x:v>
      </x:c>
      <x:c r="M87" s="13" t="n">
        <x:v>0.06</x:v>
      </x:c>
      <x:c r="N87" s="9" t="str">
        <x:v>26-10-26/exp1-perplexity/evidence-03/records/exp1-result-15.json</x:v>
      </x:c>
    </x:row>
    <x:row r="88" ht="28" customHeight="1">
      <x:c r="E88" s="9" t="n">
        <x:v>3</x:v>
      </x:c>
      <x:c r="F88" s="9" t="n">
        <x:v>16</x:v>
      </x:c>
      <x:c r="G88" s="9" t="n">
        <x:v>48</x:v>
      </x:c>
      <x:c r="H88" s="9" t="n">
        <x:v>92</x:v>
      </x:c>
      <x:c r="I88" s="13" t="n">
        <x:v>0.92</x:v>
      </x:c>
      <x:c r="J88" s="9" t="n">
        <x:v>7</x:v>
      </x:c>
      <x:c r="K88" s="9" t="n">
        <x:v>1</x:v>
      </x:c>
      <x:c r="L88" s="9" t="n">
        <x:v>1</x:v>
      </x:c>
      <x:c r="M88" s="13" t="n">
        <x:v>0.09</x:v>
      </x:c>
      <x:c r="N88" s="9" t="str">
        <x:v>26-10-26/exp1-perplexity/evidence-03/records/exp1-result-16.json</x:v>
      </x:c>
    </x:row>
    <x:row r="89" ht="28" customHeight="1">
      <x:c r="E89" s="9" t="n">
        <x:v>3</x:v>
      </x:c>
      <x:c r="F89" s="9" t="n">
        <x:v>17</x:v>
      </x:c>
      <x:c r="G89" s="9" t="n">
        <x:v>48</x:v>
      </x:c>
      <x:c r="H89" s="9" t="n">
        <x:v>95</x:v>
      </x:c>
      <x:c r="I89" s="13" t="n">
        <x:v>0.95</x:v>
      </x:c>
      <x:c r="J89" s="9" t="n">
        <x:v>5</x:v>
      </x:c>
      <x:c r="K89" s="9" t="n">
        <x:v>0</x:v>
      </x:c>
      <x:c r="L89" s="9" t="n">
        <x:v>0</x:v>
      </x:c>
      <x:c r="M89" s="13" t="n">
        <x:v>0.05</x:v>
      </x:c>
      <x:c r="N89" s="9" t="str">
        <x:v>26-10-26/exp1-perplexity/evidence-03/records/exp1-result-17.json</x:v>
      </x:c>
    </x:row>
    <x:row r="90" ht="28" customHeight="1">
      <x:c r="E90" s="9" t="n">
        <x:v>3</x:v>
      </x:c>
      <x:c r="F90" s="9" t="n">
        <x:v>18</x:v>
      </x:c>
      <x:c r="G90" s="9" t="n">
        <x:v>48</x:v>
      </x:c>
      <x:c r="H90" s="9" t="n">
        <x:v>95</x:v>
      </x:c>
      <x:c r="I90" s="13" t="n">
        <x:v>0.95</x:v>
      </x:c>
      <x:c r="J90" s="9" t="n">
        <x:v>5</x:v>
      </x:c>
      <x:c r="K90" s="9" t="n">
        <x:v>0</x:v>
      </x:c>
      <x:c r="L90" s="9" t="n">
        <x:v>0</x:v>
      </x:c>
      <x:c r="M90" s="13" t="n">
        <x:v>0.05</x:v>
      </x:c>
      <x:c r="N90" s="9" t="str">
        <x:v>26-10-26/exp1-perplexity/evidence-03/records/exp1-result-18.json</x:v>
      </x:c>
    </x:row>
    <x:row r="91" ht="28" customHeight="1">
      <x:c r="E91" s="9" t="n">
        <x:v>3</x:v>
      </x:c>
      <x:c r="F91" s="9" t="n">
        <x:v>19</x:v>
      </x:c>
      <x:c r="G91" s="9" t="n">
        <x:v>48</x:v>
      </x:c>
      <x:c r="H91" s="9" t="n">
        <x:v>97</x:v>
      </x:c>
      <x:c r="I91" s="13" t="n">
        <x:v>0.97</x:v>
      </x:c>
      <x:c r="J91" s="9" t="n">
        <x:v>3</x:v>
      </x:c>
      <x:c r="K91" s="9" t="n">
        <x:v>0</x:v>
      </x:c>
      <x:c r="L91" s="9" t="n">
        <x:v>1</x:v>
      </x:c>
      <x:c r="M91" s="13" t="n">
        <x:v>0.04</x:v>
      </x:c>
      <x:c r="N91" s="9" t="str">
        <x:v>26-10-26/exp1-perplexity/evidence-03/records/exp1-result-19.json</x:v>
      </x:c>
    </x:row>
    <x:row r="92" ht="28" customHeight="1">
      <x:c r="E92" s="9" t="n">
        <x:v>3</x:v>
      </x:c>
      <x:c r="F92" s="9" t="n">
        <x:v>20</x:v>
      </x:c>
      <x:c r="G92" s="9" t="n">
        <x:v>48</x:v>
      </x:c>
      <x:c r="H92" s="9" t="n">
        <x:v>92</x:v>
      </x:c>
      <x:c r="I92" s="13" t="n">
        <x:v>0.92</x:v>
      </x:c>
      <x:c r="J92" s="9" t="n">
        <x:v>7</x:v>
      </x:c>
      <x:c r="K92" s="9" t="n">
        <x:v>1</x:v>
      </x:c>
      <x:c r="L92" s="9" t="n">
        <x:v>1</x:v>
      </x:c>
      <x:c r="M92" s="13" t="n">
        <x:v>0.09</x:v>
      </x:c>
      <x:c r="N92" s="9" t="str">
        <x:v>26-10-26/exp1-perplexity/evidence-03/records/exp1-result-20.json</x:v>
      </x:c>
    </x:row>
    <x:row r="93" ht="28" customHeight="1">
      <x:c r="E93" s="9" t="n">
        <x:v>3</x:v>
      </x:c>
      <x:c r="F93" s="9" t="n">
        <x:v>21</x:v>
      </x:c>
      <x:c r="G93" s="9" t="n">
        <x:v>48</x:v>
      </x:c>
      <x:c r="H93" s="9" t="n">
        <x:v>94</x:v>
      </x:c>
      <x:c r="I93" s="13" t="n">
        <x:v>0.94</x:v>
      </x:c>
      <x:c r="J93" s="9" t="n">
        <x:v>5</x:v>
      </x:c>
      <x:c r="K93" s="9" t="n">
        <x:v>1</x:v>
      </x:c>
      <x:c r="L93" s="9" t="n">
        <x:v>1</x:v>
      </x:c>
      <x:c r="M93" s="13" t="n">
        <x:v>0.07</x:v>
      </x:c>
      <x:c r="N93" s="9" t="str">
        <x:v>26-10-26/exp1-perplexity/evidence-03/records/exp1-result-21.json</x:v>
      </x:c>
    </x:row>
    <x:row r="94" ht="28" customHeight="1">
      <x:c r="E94" s="9" t="n">
        <x:v>3</x:v>
      </x:c>
      <x:c r="F94" s="9" t="n">
        <x:v>22</x:v>
      </x:c>
      <x:c r="G94" s="9" t="n">
        <x:v>48</x:v>
      </x:c>
      <x:c r="H94" s="9" t="n">
        <x:v>95</x:v>
      </x:c>
      <x:c r="I94" s="13" t="n">
        <x:v>0.95</x:v>
      </x:c>
      <x:c r="J94" s="9" t="n">
        <x:v>4</x:v>
      </x:c>
      <x:c r="K94" s="9" t="n">
        <x:v>1</x:v>
      </x:c>
      <x:c r="L94" s="9" t="n">
        <x:v>2</x:v>
      </x:c>
      <x:c r="M94" s="13" t="n">
        <x:v>0.07</x:v>
      </x:c>
      <x:c r="N94" s="9" t="str">
        <x:v>26-10-26/exp1-perplexity/evidence-03/records/exp1-result-22.json</x:v>
      </x:c>
    </x:row>
    <x:row r="95" ht="28" customHeight="1">
      <x:c r="E95" s="9" t="n">
        <x:v>3</x:v>
      </x:c>
      <x:c r="F95" s="9" t="n">
        <x:v>23</x:v>
      </x:c>
      <x:c r="G95" s="9" t="n">
        <x:v>48</x:v>
      </x:c>
      <x:c r="H95" s="9" t="n">
        <x:v>94</x:v>
      </x:c>
      <x:c r="I95" s="13" t="n">
        <x:v>0.94</x:v>
      </x:c>
      <x:c r="J95" s="9" t="n">
        <x:v>4</x:v>
      </x:c>
      <x:c r="K95" s="9" t="n">
        <x:v>2</x:v>
      </x:c>
      <x:c r="L95" s="9" t="n">
        <x:v>3</x:v>
      </x:c>
      <x:c r="M95" s="13" t="n">
        <x:v>0.09</x:v>
      </x:c>
      <x:c r="N95" s="9" t="str">
        <x:v>26-10-26/exp1-perplexity/evidence-03/records/exp1-result-23.json</x:v>
      </x:c>
    </x:row>
    <x:row r="96" ht="28" customHeight="1">
      <x:c r="E96" s="9" t="n">
        <x:v>3</x:v>
      </x:c>
      <x:c r="F96" s="9" t="n">
        <x:v>24</x:v>
      </x:c>
      <x:c r="G96" s="9" t="n">
        <x:v>48</x:v>
      </x:c>
      <x:c r="H96" s="9" t="n">
        <x:v>97</x:v>
      </x:c>
      <x:c r="I96" s="13" t="n">
        <x:v>0.97</x:v>
      </x:c>
      <x:c r="J96" s="9" t="n">
        <x:v>2</x:v>
      </x:c>
      <x:c r="K96" s="9" t="n">
        <x:v>1</x:v>
      </x:c>
      <x:c r="L96" s="9" t="n">
        <x:v>1</x:v>
      </x:c>
      <x:c r="M96" s="13" t="n">
        <x:v>0.04</x:v>
      </x:c>
      <x:c r="N96" s="9" t="str">
        <x:v>26-10-26/exp1-perplexity/evidence-03/records/exp1-result-24.json</x:v>
      </x:c>
    </x:row>
    <x:row r="97" ht="28" customHeight="1">
      <x:c r="E97" s="9" t="n">
        <x:v>3</x:v>
      </x:c>
      <x:c r="F97" s="9" t="n">
        <x:v>25</x:v>
      </x:c>
      <x:c r="G97" s="9" t="n">
        <x:v>48</x:v>
      </x:c>
      <x:c r="H97" s="9" t="n">
        <x:v>95</x:v>
      </x:c>
      <x:c r="I97" s="13" t="n">
        <x:v>0.95</x:v>
      </x:c>
      <x:c r="J97" s="9" t="n">
        <x:v>4</x:v>
      </x:c>
      <x:c r="K97" s="9" t="n">
        <x:v>1</x:v>
      </x:c>
      <x:c r="L97" s="9" t="n">
        <x:v>2</x:v>
      </x:c>
      <x:c r="M97" s="13" t="n">
        <x:v>0.07</x:v>
      </x:c>
      <x:c r="N97" s="9" t="str">
        <x:v>26-10-26/exp1-perplexity/evidence-03/records/exp1-result-25.json</x:v>
      </x:c>
    </x:row>
    <x:row r="98" ht="28" customHeight="1">
      <x:c r="E98" s="9" t="n">
        <x:v>3</x:v>
      </x:c>
      <x:c r="F98" s="9" t="n">
        <x:v>26</x:v>
      </x:c>
      <x:c r="G98" s="9" t="n">
        <x:v>48</x:v>
      </x:c>
      <x:c r="H98" s="9" t="n">
        <x:v>95</x:v>
      </x:c>
      <x:c r="I98" s="13" t="n">
        <x:v>0.95</x:v>
      </x:c>
      <x:c r="J98" s="9" t="n">
        <x:v>5</x:v>
      </x:c>
      <x:c r="K98" s="9" t="n">
        <x:v>0</x:v>
      </x:c>
      <x:c r="L98" s="9" t="n">
        <x:v>1</x:v>
      </x:c>
      <x:c r="M98" s="13" t="n">
        <x:v>0.06</x:v>
      </x:c>
      <x:c r="N98" s="9" t="str">
        <x:v>26-10-26/exp1-perplexity/evidence-03/records/exp1-result-26.json</x:v>
      </x:c>
    </x:row>
    <x:row r="99" ht="28" customHeight="1">
      <x:c r="E99" s="9" t="n">
        <x:v>3</x:v>
      </x:c>
      <x:c r="F99" s="9" t="n">
        <x:v>27</x:v>
      </x:c>
      <x:c r="G99" s="9" t="n">
        <x:v>48</x:v>
      </x:c>
      <x:c r="H99" s="9" t="n">
        <x:v>96</x:v>
      </x:c>
      <x:c r="I99" s="13" t="n">
        <x:v>0.96</x:v>
      </x:c>
      <x:c r="J99" s="9" t="n">
        <x:v>3</x:v>
      </x:c>
      <x:c r="K99" s="9" t="n">
        <x:v>1</x:v>
      </x:c>
      <x:c r="L99" s="9" t="n">
        <x:v>1</x:v>
      </x:c>
      <x:c r="M99" s="13" t="n">
        <x:v>0.05</x:v>
      </x:c>
      <x:c r="N99" s="9" t="str">
        <x:v>26-10-26/exp1-perplexity/evidence-03/records/exp1-result-27.json</x:v>
      </x:c>
    </x:row>
    <x:row r="100" ht="28" customHeight="1">
      <x:c r="E100" s="9" t="n">
        <x:v>3</x:v>
      </x:c>
      <x:c r="F100" s="9" t="n">
        <x:v>28</x:v>
      </x:c>
      <x:c r="G100" s="9" t="n">
        <x:v>48</x:v>
      </x:c>
      <x:c r="H100" s="9" t="n">
        <x:v>97</x:v>
      </x:c>
      <x:c r="I100" s="13" t="n">
        <x:v>0.97</x:v>
      </x:c>
      <x:c r="J100" s="9" t="n">
        <x:v>3</x:v>
      </x:c>
      <x:c r="K100" s="9" t="n">
        <x:v>0</x:v>
      </x:c>
      <x:c r="L100" s="9" t="n">
        <x:v>0</x:v>
      </x:c>
      <x:c r="M100" s="13" t="n">
        <x:v>0.03</x:v>
      </x:c>
      <x:c r="N100" s="9" t="str">
        <x:v>26-10-26/exp1-perplexity/evidence-03/records/exp1-result-28.json</x:v>
      </x:c>
    </x:row>
    <x:row r="101" ht="28" customHeight="1">
      <x:c r="E101" s="9" t="n">
        <x:v>3</x:v>
      </x:c>
      <x:c r="F101" s="9" t="n">
        <x:v>29</x:v>
      </x:c>
      <x:c r="G101" s="9" t="n">
        <x:v>48</x:v>
      </x:c>
      <x:c r="H101" s="9" t="n">
        <x:v>98</x:v>
      </x:c>
      <x:c r="I101" s="13" t="n">
        <x:v>0.98</x:v>
      </x:c>
      <x:c r="J101" s="9" t="n">
        <x:v>2</x:v>
      </x:c>
      <x:c r="K101" s="9" t="n">
        <x:v>0</x:v>
      </x:c>
      <x:c r="L101" s="9" t="n">
        <x:v>1</x:v>
      </x:c>
      <x:c r="M101" s="13" t="n">
        <x:v>0.03</x:v>
      </x:c>
      <x:c r="N101" s="9" t="str">
        <x:v>26-10-26/exp1-perplexity/evidence-03/records/exp1-result-29.json</x:v>
      </x:c>
    </x:row>
    <x:row r="102" ht="28" customHeight="1">
      <x:c r="E102" s="9" t="n">
        <x:v>3</x:v>
      </x:c>
      <x:c r="F102" s="9" t="n">
        <x:v>30</x:v>
      </x:c>
      <x:c r="G102" s="9" t="n">
        <x:v>48</x:v>
      </x:c>
      <x:c r="H102" s="9" t="n">
        <x:v>96</x:v>
      </x:c>
      <x:c r="I102" s="13" t="n">
        <x:v>0.96</x:v>
      </x:c>
      <x:c r="J102" s="9" t="n">
        <x:v>4</x:v>
      </x:c>
      <x:c r="K102" s="9" t="n">
        <x:v>0</x:v>
      </x:c>
      <x:c r="L102" s="9" t="n">
        <x:v>0</x:v>
      </x:c>
      <x:c r="M102" s="13" t="n">
        <x:v>0.04</x:v>
      </x:c>
      <x:c r="N102" s="9" t="str">
        <x:v>26-10-26/exp1-perplexity/evidence-03/records/exp1-result-30.json</x:v>
      </x:c>
    </x:row>
    <x:row r="103" ht="28" customHeight="1">
      <x:c r="E103" s="9" t="n">
        <x:v>3</x:v>
      </x:c>
      <x:c r="F103" s="9" t="n">
        <x:v>31</x:v>
      </x:c>
      <x:c r="G103" s="9" t="n">
        <x:v>48</x:v>
      </x:c>
      <x:c r="H103" s="9" t="n">
        <x:v>98</x:v>
      </x:c>
      <x:c r="I103" s="13" t="n">
        <x:v>0.98</x:v>
      </x:c>
      <x:c r="J103" s="9" t="n">
        <x:v>2</x:v>
      </x:c>
      <x:c r="K103" s="9" t="n">
        <x:v>0</x:v>
      </x:c>
      <x:c r="L103" s="9" t="n">
        <x:v>0</x:v>
      </x:c>
      <x:c r="M103" s="13" t="n">
        <x:v>0.02</x:v>
      </x:c>
      <x:c r="N103" s="9" t="str">
        <x:v>26-10-26/exp1-perplexity/evidence-03/records/exp1-result-31.json</x:v>
      </x:c>
    </x:row>
    <x:row r="104" ht="28" customHeight="1">
      <x:c r="E104" s="9" t="n">
        <x:v>3</x:v>
      </x:c>
      <x:c r="F104" s="9" t="n">
        <x:v>32</x:v>
      </x:c>
      <x:c r="G104" s="9" t="n">
        <x:v>48</x:v>
      </x:c>
      <x:c r="H104" s="9" t="n">
        <x:v>98</x:v>
      </x:c>
      <x:c r="I104" s="13" t="n">
        <x:v>0.98</x:v>
      </x:c>
      <x:c r="J104" s="9" t="n">
        <x:v>2</x:v>
      </x:c>
      <x:c r="K104" s="9" t="n">
        <x:v>0</x:v>
      </x:c>
      <x:c r="L104" s="9" t="n">
        <x:v>0</x:v>
      </x:c>
      <x:c r="M104" s="13" t="n">
        <x:v>0.02</x:v>
      </x:c>
      <x:c r="N104" s="9" t="str">
        <x:v>26-10-26/exp1-perplexity/evidence-03/records/exp1-result-32.json</x:v>
      </x:c>
    </x:row>
  </x:sheetData>
  <x:pageMargins left="0.7" right="0.7" top="0.75" bottom="0.75" header="0.3" footer="0.3"/>
</x:worksheet>
</file>