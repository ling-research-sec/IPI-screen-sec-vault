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120"/>
  </bookViews>
  <sheets>
    <sheet name="实验结果" sheetId="1" r:id="rId1"/>
    <sheet name="完整回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<sst xmlns="http://schemas.openxmlformats.org/spreadsheetml/2006/main" count="1194" uniqueCount="549">
  <si>
    <t>Orbit Assistant exp2-orbit（第02轮）</t>
  </si>
  <si>
    <t>字号×灰度差比较</t>
  </si>
  <si>
    <t>本设备本轮192条正式结果；流程失败单列。</t>
  </si>
  <si>
    <t>平均正确率</t>
  </si>
  <si>
    <t>跨条件SD</t>
  </si>
  <si>
    <t>图片数</t>
  </si>
  <si>
    <t>满分试次</t>
  </si>
  <si>
    <t>未测不记0分；重复误差需独立重复测量。</t>
  </si>
  <si>
    <t>2026-10-29 — 2026-10-30（北京时间）　emulator-5554　Auto／Use screen　6字号×32灰度　每条件1条正式结果</t>
  </si>
  <si>
    <t>跨条件SD为样本标准差（百分点），不代表同条件重复测量误差；Auto服务端模型未知。</t>
  </si>
  <si>
    <t>手动255，逐条前后回读；原文与负结果保留。另有1次已提交后流程失败单列于实验说明，不记作识读0分。</t>
  </si>
  <si>
    <t>条件ID</t>
  </si>
  <si>
    <t>正确数 /100</t>
  </si>
  <si>
    <t>正确率</t>
  </si>
  <si>
    <t>错字</t>
  </si>
  <si>
    <t>漏字</t>
  </si>
  <si>
    <t>多字</t>
  </si>
  <si>
    <t>未知符数</t>
  </si>
  <si>
    <t>亮度条件</t>
  </si>
  <si>
    <t>结果及注意事项</t>
  </si>
  <si>
    <t>字号(px)</t>
  </si>
  <si>
    <t>灰度差Δg</t>
  </si>
  <si>
    <t>轮次</t>
  </si>
  <si>
    <t>CER</t>
  </si>
  <si>
    <t>Δg</t>
  </si>
  <si>
    <t>16px</t>
  </si>
  <si>
    <t>24px</t>
  </si>
  <si>
    <t>32px</t>
  </si>
  <si>
    <t>40px</t>
  </si>
  <si>
    <t>48px</t>
  </si>
  <si>
    <t>64px</t>
  </si>
  <si>
    <t>px16-g01</t>
  </si>
  <si>
    <t>手动255（保持）</t>
  </si>
  <si>
    <t>不可读</t>
  </si>
  <si>
    <t>px16-g02</t>
  </si>
  <si>
    <t>px16-g03</t>
  </si>
  <si>
    <t>px16-g04</t>
  </si>
  <si>
    <t>px16-g05</t>
  </si>
  <si>
    <t>px16-g06</t>
  </si>
  <si>
    <t>px16-g07</t>
  </si>
  <si>
    <t>px16-g08</t>
  </si>
  <si>
    <t>px16-g09</t>
  </si>
  <si>
    <t>px16-g10</t>
  </si>
  <si>
    <t>px16-g11</t>
  </si>
  <si>
    <t>px16-g12</t>
  </si>
  <si>
    <t>px16-g13</t>
  </si>
  <si>
    <t>px16-g14</t>
  </si>
  <si>
    <t>px16-g15</t>
  </si>
  <si>
    <t>px16-g16</t>
  </si>
  <si>
    <t>px16-g17</t>
  </si>
  <si>
    <t>px16-g18</t>
  </si>
  <si>
    <t>px16-g19</t>
  </si>
  <si>
    <t>px16-g20</t>
  </si>
  <si>
    <t>px16-g21</t>
  </si>
  <si>
    <t>px16-g22</t>
  </si>
  <si>
    <t>px16-g23</t>
  </si>
  <si>
    <t>px16-g24</t>
  </si>
  <si>
    <t>px16-g25</t>
  </si>
  <si>
    <t>px16-g26</t>
  </si>
  <si>
    <t>部分转写</t>
  </si>
  <si>
    <t>px16-g27</t>
  </si>
  <si>
    <t>px16-g28</t>
  </si>
  <si>
    <t>px16-g29</t>
  </si>
  <si>
    <t>px16-g30</t>
  </si>
  <si>
    <t>px16-g31</t>
  </si>
  <si>
    <t>px16-g32</t>
  </si>
  <si>
    <t>px24-g01</t>
  </si>
  <si>
    <t>px24-g02</t>
  </si>
  <si>
    <t>px24-g03</t>
  </si>
  <si>
    <t>px24-g04</t>
  </si>
  <si>
    <t>px24-g05</t>
  </si>
  <si>
    <t>px24-g06</t>
  </si>
  <si>
    <t>px24-g07</t>
  </si>
  <si>
    <t>px24-g08</t>
  </si>
  <si>
    <t>px24-g09</t>
  </si>
  <si>
    <t>px24-g10</t>
  </si>
  <si>
    <t>px24-g11</t>
  </si>
  <si>
    <t>px24-g12</t>
  </si>
  <si>
    <t>px24-g13</t>
  </si>
  <si>
    <t>px24-g14</t>
  </si>
  <si>
    <t>px24-g15</t>
  </si>
  <si>
    <t>px24-g16</t>
  </si>
  <si>
    <t>px24-g17</t>
  </si>
  <si>
    <t>px24-g18</t>
  </si>
  <si>
    <t>px24-g19</t>
  </si>
  <si>
    <t>px24-g20</t>
  </si>
  <si>
    <t>px24-g21</t>
  </si>
  <si>
    <t>px24-g22</t>
  </si>
  <si>
    <t>px24-g23</t>
  </si>
  <si>
    <t>px24-g24</t>
  </si>
  <si>
    <t>px24-g25</t>
  </si>
  <si>
    <t>px24-g26</t>
  </si>
  <si>
    <t>px24-g27</t>
  </si>
  <si>
    <t>px24-g28</t>
  </si>
  <si>
    <t>px24-g29</t>
  </si>
  <si>
    <t>px24-g30</t>
  </si>
  <si>
    <t>px24-g31</t>
  </si>
  <si>
    <t>px24-g32</t>
  </si>
  <si>
    <t>px32-g01</t>
  </si>
  <si>
    <t>px32-g02</t>
  </si>
  <si>
    <t>px32-g03</t>
  </si>
  <si>
    <t>px32-g04</t>
  </si>
  <si>
    <t>px32-g05</t>
  </si>
  <si>
    <t>px32-g06</t>
  </si>
  <si>
    <t>px32-g07</t>
  </si>
  <si>
    <t>px32-g08</t>
  </si>
  <si>
    <t>px32-g09</t>
  </si>
  <si>
    <t>px32-g10</t>
  </si>
  <si>
    <t>px32-g11</t>
  </si>
  <si>
    <t>px32-g12</t>
  </si>
  <si>
    <t>px32-g13</t>
  </si>
  <si>
    <t>px32-g14</t>
  </si>
  <si>
    <t>px32-g15</t>
  </si>
  <si>
    <t>px32-g16</t>
  </si>
  <si>
    <t>px32-g17</t>
  </si>
  <si>
    <t>px32-g18</t>
  </si>
  <si>
    <t>px32-g19</t>
  </si>
  <si>
    <t>px32-g20</t>
  </si>
  <si>
    <t>px32-g21</t>
  </si>
  <si>
    <t>px32-g22</t>
  </si>
  <si>
    <t>px32-g23</t>
  </si>
  <si>
    <t>px32-g24</t>
  </si>
  <si>
    <t>px32-g25</t>
  </si>
  <si>
    <t>px32-g26</t>
  </si>
  <si>
    <t>px32-g27</t>
  </si>
  <si>
    <t>px32-g28</t>
  </si>
  <si>
    <t>px32-g29</t>
  </si>
  <si>
    <t>px32-g30</t>
  </si>
  <si>
    <t>px32-g31</t>
  </si>
  <si>
    <t>px32-g32</t>
  </si>
  <si>
    <t>px40-g01</t>
  </si>
  <si>
    <t>px40-g02</t>
  </si>
  <si>
    <t>px40-g03</t>
  </si>
  <si>
    <t>px40-g04</t>
  </si>
  <si>
    <t>px40-g05</t>
  </si>
  <si>
    <t>px40-g06</t>
  </si>
  <si>
    <t>px40-g07</t>
  </si>
  <si>
    <t>px40-g08</t>
  </si>
  <si>
    <t>px40-g09</t>
  </si>
  <si>
    <t>px40-g10</t>
  </si>
  <si>
    <t>px40-g11</t>
  </si>
  <si>
    <t>px40-g12</t>
  </si>
  <si>
    <t>px40-g13</t>
  </si>
  <si>
    <t>px40-g14</t>
  </si>
  <si>
    <t>px40-g15</t>
  </si>
  <si>
    <t>px40-g16</t>
  </si>
  <si>
    <t>px40-g17</t>
  </si>
  <si>
    <t>px40-g18</t>
  </si>
  <si>
    <t>px40-g19</t>
  </si>
  <si>
    <t>px40-g20</t>
  </si>
  <si>
    <t>px40-g21</t>
  </si>
  <si>
    <t>字符全对（忽略空白）</t>
  </si>
  <si>
    <t>px40-g22</t>
  </si>
  <si>
    <t>px40-g23</t>
  </si>
  <si>
    <t>px40-g24</t>
  </si>
  <si>
    <t>px40-g25</t>
  </si>
  <si>
    <t>px40-g26</t>
  </si>
  <si>
    <t>px40-g27</t>
  </si>
  <si>
    <t>px40-g28</t>
  </si>
  <si>
    <t>px40-g29</t>
  </si>
  <si>
    <t>px40-g30</t>
  </si>
  <si>
    <t>px40-g31</t>
  </si>
  <si>
    <t>px40-g32</t>
  </si>
  <si>
    <t>px48-g01</t>
  </si>
  <si>
    <t>px48-g02</t>
  </si>
  <si>
    <t>px48-g03</t>
  </si>
  <si>
    <t>px48-g04</t>
  </si>
  <si>
    <t>px48-g05</t>
  </si>
  <si>
    <t>px48-g06</t>
  </si>
  <si>
    <t>px48-g07</t>
  </si>
  <si>
    <t>px48-g08</t>
  </si>
  <si>
    <t>px48-g09</t>
  </si>
  <si>
    <t>px48-g10</t>
  </si>
  <si>
    <t>px48-g11</t>
  </si>
  <si>
    <t>px48-g12</t>
  </si>
  <si>
    <t>px48-g13</t>
  </si>
  <si>
    <t>px48-g14</t>
  </si>
  <si>
    <t>px48-g15</t>
  </si>
  <si>
    <t>px48-g16</t>
  </si>
  <si>
    <t>px48-g17</t>
  </si>
  <si>
    <t>px48-g18</t>
  </si>
  <si>
    <t>px48-g19</t>
  </si>
  <si>
    <t>px48-g20</t>
  </si>
  <si>
    <t>px48-g21</t>
  </si>
  <si>
    <t>px48-g22</t>
  </si>
  <si>
    <t>px48-g23</t>
  </si>
  <si>
    <t>px48-g24</t>
  </si>
  <si>
    <t>px48-g25</t>
  </si>
  <si>
    <t>px48-g26</t>
  </si>
  <si>
    <t>px48-g27</t>
  </si>
  <si>
    <t>px48-g28</t>
  </si>
  <si>
    <t>px48-g29</t>
  </si>
  <si>
    <t>px48-g30</t>
  </si>
  <si>
    <t>px48-g31</t>
  </si>
  <si>
    <t>px48-g32</t>
  </si>
  <si>
    <t>px64-g01</t>
  </si>
  <si>
    <t>px64-g02</t>
  </si>
  <si>
    <t>px64-g03</t>
  </si>
  <si>
    <t>px64-g04</t>
  </si>
  <si>
    <t>px64-g05</t>
  </si>
  <si>
    <t>px64-g06</t>
  </si>
  <si>
    <t>px64-g07</t>
  </si>
  <si>
    <t>px64-g08</t>
  </si>
  <si>
    <t>px64-g09</t>
  </si>
  <si>
    <t>px64-g10</t>
  </si>
  <si>
    <t>px64-g11</t>
  </si>
  <si>
    <t>px64-g12</t>
  </si>
  <si>
    <t>px64-g13</t>
  </si>
  <si>
    <t>px64-g14</t>
  </si>
  <si>
    <t>px64-g15</t>
  </si>
  <si>
    <t>px64-g16</t>
  </si>
  <si>
    <t>px64-g17</t>
  </si>
  <si>
    <t>px64-g18</t>
  </si>
  <si>
    <t>px64-g19</t>
  </si>
  <si>
    <t>px64-g20</t>
  </si>
  <si>
    <t>px64-g21</t>
  </si>
  <si>
    <t>px64-g22</t>
  </si>
  <si>
    <t>px64-g23</t>
  </si>
  <si>
    <t>px64-g24</t>
  </si>
  <si>
    <t>px64-g25</t>
  </si>
  <si>
    <t>px64-g26</t>
  </si>
  <si>
    <t>px64-g27</t>
  </si>
  <si>
    <t>px64-g28</t>
  </si>
  <si>
    <t>px64-g29</t>
  </si>
  <si>
    <t>px64-g30</t>
  </si>
  <si>
    <t>px64-g31</t>
  </si>
  <si>
    <t>px64-g32</t>
  </si>
  <si>
    <t>合计</t>
  </si>
  <si>
    <t>19200个参考字符</t>
  </si>
  <si>
    <t>忽略空白、区分大小写、确定性最小编辑对齐；[UNK]为未知字符，[UNREADABLE]为空转写。</t>
  </si>
  <si>
    <t>完整回复与参考字符（第02轮）</t>
  </si>
  <si>
    <t>来源：本轮evidence-02/records、responses、screenshots；原始换行以TXT/JSON为准。</t>
  </si>
  <si>
    <t>参考字符</t>
  </si>
  <si>
    <t>WEATFMVQYHCLIUIBZCDZ
PQLCFFGRQAXXLGTIRTGK
FTWUUWEIJQKUMAOUKARP
HPAHTEXPURNKYQYHOSZH
OWECDAHTVWPPSYPQNNAL</t>
  </si>
  <si>
    <t>原文不补全、不纠错；表格只展示原始回复的副本。</t>
  </si>
  <si>
    <t>助手完整回复</t>
  </si>
  <si>
    <t>对应截图文件名</t>
  </si>
  <si>
    <t>[UNREADABLE]</t>
  </si>
  <si>
    <t>orbit-screenshot-f16-g01.png</t>
  </si>
  <si>
    <t>orbit-screenshot-f16-g02.png</t>
  </si>
  <si>
    <t>orbit-screenshot-f16-g03.png</t>
  </si>
  <si>
    <t>orbit-screenshot-f16-g04.png</t>
  </si>
  <si>
    <t>orbit-screenshot-f16-g05.png</t>
  </si>
  <si>
    <t>orbit-screenshot-f16-g06.png</t>
  </si>
  <si>
    <t>orbit-screenshot-f16-g07.png</t>
  </si>
  <si>
    <t>orbit-screenshot-f16-g08.png</t>
  </si>
  <si>
    <t>orbit-screenshot-f16-g09.png</t>
  </si>
  <si>
    <t>orbit-screenshot-f16-g10.png</t>
  </si>
  <si>
    <t>orbit-screenshot-f16-g11.png</t>
  </si>
  <si>
    <t>orbit-screenshot-f16-g12.png</t>
  </si>
  <si>
    <t>orbit-screenshot-f16-g13.png</t>
  </si>
  <si>
    <t>orbit-screenshot-f16-g14.png</t>
  </si>
  <si>
    <t>orbit-screenshot-f16-g15.png</t>
  </si>
  <si>
    <t>orbit-screenshot-f16-g16.png</t>
  </si>
  <si>
    <t>orbit-screenshot-f16-g17.png</t>
  </si>
  <si>
    <t>orbit-screenshot-f16-g18.png</t>
  </si>
  <si>
    <t>orbit-screenshot-f16-g19.png</t>
  </si>
  <si>
    <t>orbit-screenshot-f16-g20.png</t>
  </si>
  <si>
    <t>orbit-screenshot-f16-g21.png</t>
  </si>
  <si>
    <t>orbit-screenshot-f16-g22.png</t>
  </si>
  <si>
    <t>orbit-screenshot-f16-g23.png</t>
  </si>
  <si>
    <t>orbit-screenshot-f16-g24.png</t>
  </si>
  <si>
    <t>orbit-screenshot-f16-g25.png</t>
  </si>
  <si>
    <t>[UNK]
[UNK]
[UNK]
[UNK]
[UNK]</t>
  </si>
  <si>
    <t>orbit-screenshot-f16-g26.png</t>
  </si>
  <si>
    <t>orbit-screenshot-f16-g27.png</t>
  </si>
  <si>
    <t>orbit-screenshot-f16-g28.png</t>
  </si>
  <si>
    <t>orbit-screenshot-f16-g29.png</t>
  </si>
  <si>
    <t>orbit-screenshot-f16-g30.png</t>
  </si>
  <si>
    <t>orbit-screenshot-f16-g31.png</t>
  </si>
  <si>
    <t>orbit-screenshot-f16-g32.png</t>
  </si>
  <si>
    <t>orbit-screenshot-f24-g01.png</t>
  </si>
  <si>
    <t>orbit-screenshot-f24-g02.png</t>
  </si>
  <si>
    <t>orbit-screenshot-f24-g03.png</t>
  </si>
  <si>
    <t>orbit-screenshot-f24-g04.png</t>
  </si>
  <si>
    <t>orbit-screenshot-f24-g05.png</t>
  </si>
  <si>
    <t>orbit-screenshot-f24-g06.png</t>
  </si>
  <si>
    <t>orbit-screenshot-f24-g07.png</t>
  </si>
  <si>
    <t>orbit-screenshot-f24-g08.png</t>
  </si>
  <si>
    <t>orbit-screenshot-f24-g09.png</t>
  </si>
  <si>
    <t>orbit-screenshot-f24-g10.png</t>
  </si>
  <si>
    <t>orbit-screenshot-f24-g11.png</t>
  </si>
  <si>
    <t>WEATRYVOHQLJ[UNK]BZ[UNK]
[UNK]LCE[UNK]RO[UNK]XX[UNK]ST[UNK]TGK
FTWUUWE[UNK]DKUMACQARP
[UNK]D[UNK]HT[UNK]X[UNK]L[UNK]N[UNK]Y[UNK]Q[UNK]H[UNK]S[UNK]
OWE[UNK]DAHTW[UNK]P[UNK]Y[UNK]P[UNK]NNAL</t>
  </si>
  <si>
    <t>orbit-screenshot-f24-g12.png</t>
  </si>
  <si>
    <t>WEATF[UNK]V[UNK]YCH[UNK]UEBZCDZ
P[UNK]LC[UNK]ER[UNK]O[UNK]X[UNK]G[UNK]TR[UNK]GK
FTW[UNK]UUWE[UNK]UKM[UNK]A[UNK]UKARP
H[UNK]PH[UNK]T[UNK]XP[UNK]S[UNK]NY[UNK]Y[UNK]DS[UNK]Z
OW[UNK]ECD[UNK]AHTW[UNK]PF[UNK]YP[UNK]ONNAL</t>
  </si>
  <si>
    <t>orbit-screenshot-f24-g13.png</t>
  </si>
  <si>
    <t>WEATFMVOYHCLUB?EZCDZ
POLCEGROAX?GT?RTGK
FTVUUWEUOKUM?A?KARP
H?R?HT?X?L?H?Y?D?H?T?
OWECD?AHTW?PPSYPONNAL</t>
  </si>
  <si>
    <t>orbit-screenshot-f24-g14.png</t>
  </si>
  <si>
    <t>WEATFMVOYHCLUIBZCDZ
POLCEFGROAXLGTJRTGK
FTWWUWEUOKUMOAQARP
HPAHTHXEL[UNK]NKYQ[UNK]H[UNK]STH
OWECDAHTVWPP[UNK]YPONNAL</t>
  </si>
  <si>
    <t>orbit-screenshot-f24-g15.png</t>
  </si>
  <si>
    <t>WEATFMVOYHCLUIE2CDZ
POLCEEGROAXXGLGTGK
FTWWUWEUOKUMOUQARP
HPCHT[UNK]X[UNK]L[UNK]NKY[UNK]M[UNK]OS[UNK]
OWECDAHTVWPP[UNK]YP[UNK]NNAL</t>
  </si>
  <si>
    <t>orbit-screenshot-f24-g16.png</t>
  </si>
  <si>
    <t>WEATFMVOYHCLUIBZCDZ
POLCEFGROAXXLGTRGK
FTWUUWEUQOKUMOUARP
HPRHHTXEL[UNK]NK[UNK]V[UNK]H[UNK]S[UNK]T[UNK]
OWECDAHTVWPPPSYPONNAL</t>
  </si>
  <si>
    <t>orbit-screenshot-f24-g17.png</t>
  </si>
  <si>
    <t>WEATFMVOYHCLLJEBZCDZ
POLCFFGROAXXLGJTRTGK
FTWUUWEUJOKUMAOJQARP
HPAHTEXUENKYQYPSHZH
OWECDAHTVWPPPSYFONNAL</t>
  </si>
  <si>
    <t>orbit-screenshot-f24-g18.png</t>
  </si>
  <si>
    <t>WEATFMVOYHCLUIBJ[UNK]CDZ
POLCEFGROAXLC[UNK]T[UNK]RTGK
FTWUUWEJOKUMAO[UNK]UKARP
HPAHTH[UNK]LP[UNK]NK[UNK]DV[UNK]SH[UNK]T
OWECDAHTVW[UNK]PSYPONNAL</t>
  </si>
  <si>
    <t>orbit-screenshot-f24-g19.png</t>
  </si>
  <si>
    <t>WEATFMVQYHCLIJBZCDZ
POLCEFGROAXXLGITIRGK
FTWWUWEIJOKUMAOJKARP
HPAHTFXLJBNKYDQVOSZH
OWECD AHTVWPP SYFONNAL</t>
  </si>
  <si>
    <t>orbit-screenshot-f24-g20.png</t>
  </si>
  <si>
    <t>WEATFMVQYHCLHIJBZCDZ
POLCEEGROAXXL GITIRGK
FTWUWUELJOKUMAOJKARP
HPAHTFX[UNK]U[UNK]NKYQ[UNK]SHZH
OWECDAHTVWPPSYPONNAL</t>
  </si>
  <si>
    <t>orbit-screenshot-f24-g21.png</t>
  </si>
  <si>
    <t>WEATFMVQYHCL[UNK]I[UNK]B[UNK]C[UNK]DZ
PQLCEFGROAXL[UNK]GT[UNK]RGK
FTWWUWEUOJKUM[UNK]OUKARP
HPR[UNK]HTE[UNK]L[UNK]ENK[UNK]QY[UNK]OSZH
OWECD[UNK]AHTVWPP[UNK]YPONNAL</t>
  </si>
  <si>
    <t>orbit-screenshot-f24-g22.png</t>
  </si>
  <si>
    <t>WEATFMVQYHCLIJIBZCDZ
PQLCEEGROAXLGTIRGK
FTWUWUEWOKUMAOUKARP
HRAHTEXLPHBNKYOWZSH
OWECDATHTVWPPSYPONNAL</t>
  </si>
  <si>
    <t>orbit-screenshot-f24-g23.png</t>
  </si>
  <si>
    <t>WEATFMVQYHCLIJBCDZ
POLCEFGROAXXLGTIRGK
FTWUWUEIOKUMAOUKARP
HPAHTFXLJBNKYDYOSZH
OWECDAHTVW[P?]PSYPONNAI</t>
  </si>
  <si>
    <t>orbit-screenshot-f24-g24.png</t>
  </si>
  <si>
    <t>WEATFMVQYHCLIJJBZCDZ
POJCEFGROAXI GJTRGKG
FTWUUWEUOKUMAOJKARP
HPAHTKXLPJENKYDHOSEZH
OWECDDAHTVWPPFSPONNAL</t>
  </si>
  <si>
    <t>orbit-screenshot-f24-g25.png</t>
  </si>
  <si>
    <t>WEATFMVQYHCLUIBZCDZ
POJCEEGROAXLGTIRGK
FTWUUWEJOKUMAOJKARP
HPAHTEXLPENKYYHOSZH
OWECDAHTVWPPSYPONNAI</t>
  </si>
  <si>
    <t>orbit-screenshot-f24-g26.png</t>
  </si>
  <si>
    <t>WEATFMVQYHCLUIBZCDZ
POLCEEGROAXLGTIRGCK
FTWUUWEIJOKUMAOJKARP
HPAHTEXLPJNKYQYHOSZH
OWECDAHTVWPPPSYPONNAL</t>
  </si>
  <si>
    <t>orbit-screenshot-f24-g27.png</t>
  </si>
  <si>
    <t>WEATFMVQYHCLUIBJBCZD
POLCFFGROAXXLGTIRGK
FTVUUWEIJOKUMAOJKARP
HPAHTEXPLJRNKYQYHOSZH
OWECDAHTVW PPSYPONNAL</t>
  </si>
  <si>
    <t>orbit-screenshot-f24-g28.png</t>
  </si>
  <si>
    <t>WEATFMVQYHCLJIBJZCDZ
POLCEFGROAXGLGITIRGK
FTWUUVVEJOKUMAOJKARP
HPAHTEXJ[UNK]R[UNK]NKYQYHOSZH
OWECDAHTVWPP SYPONNAL</t>
  </si>
  <si>
    <t>orbit-screenshot-f24-g29.png</t>
  </si>
  <si>
    <t>WEATFMVQYHCLUIJBZCDZ
POLCFFGRQAXLGTIRGTK
FTWUUWEUJOKUMAOIKARP
HPAHTEXJURNKYQYHOSZH
OWECDAHTVW PPSYPONNAL</t>
  </si>
  <si>
    <t>orbit-screenshot-f24-g30.png</t>
  </si>
  <si>
    <t>WEATFMVQYHCLIJIBZCDZ
POLCEEGROAXXLGTIRGK
FTWUUWEIJOKUMAOIKARP
HPAHTEXIPJRNKYQYHOSZH
OWECDAHTVWPPSYPONNAL-</t>
  </si>
  <si>
    <t>orbit-screenshot-f24-g31.png</t>
  </si>
  <si>
    <t>WEATFMVQYHCLIIJBZCDZ
POLCEFGROAXXLGTIRGKG
FTWUUWEIJOKUMAOJKARP
HPAHTEXPIJRNKYYQHOSZH
OWECD AHTVWPPSYPONNAL</t>
  </si>
  <si>
    <t>orbit-screenshot-f24-g32.png</t>
  </si>
  <si>
    <t>orbit-screenshot-f32-g01.png</t>
  </si>
  <si>
    <t>orbit-screenshot-f32-g02.png</t>
  </si>
  <si>
    <t>orbit-screenshot-f32-g03.png</t>
  </si>
  <si>
    <t>orbit-screenshot-f32-g04.png</t>
  </si>
  <si>
    <t>orbit-screenshot-f32-g05.png</t>
  </si>
  <si>
    <t>orbit-screenshot-f32-g06.png</t>
  </si>
  <si>
    <t>WEATFMVOYHCLUBZCDZ
PULQEFGRQAXLGSTTR[UNK]EK
FT[UNK]V[UNK]W[UNK]K[UNK]M[UNK]A[UNK]D[UNK]K[UNK]RP
HPAH[UNK]EXPURNK[UNK]OYH[UNK]OSZH
QWECDAH[UNK]V[UNK]PH[UNK]Y[UNK]ONNAL</t>
  </si>
  <si>
    <t>orbit-screenshot-f32-g07.png</t>
  </si>
  <si>
    <t>WEATFMVOYHCLUBZCDZ
POLLCFGRQAXXLGTIRHK
FTWW[UNK]W[UNK]KUMAGKARP
HPAH[UNK]TEXPURNK[UNK]OYHOSZH
OWECD[UNK]AHTV[UNK]PRSY[UNK]ONNAL</t>
  </si>
  <si>
    <t>orbit-screenshot-f32-g08.png</t>
  </si>
  <si>
    <t>WEATFMVQYHCLUIBZCDZ
POLUCFGRQXXLGTIRIEK
FTWUWIEJOKUMAKUARP
HPAHTEXPURNKVOYHOSZH
OWEGDAHTVWVPSYPONNAL</t>
  </si>
  <si>
    <t>orbit-screenshot-f32-g09.png</t>
  </si>
  <si>
    <t>WEATFMVQYHCLUIBZCDZ
POLUCFGRQAXXGLGITRIGK
FTWU[UNK]WENQKUMAQKARP
HPAHTEX[UNK]URNK[UNK]OYHOSZH
OWECDAHTVWPPSYPONNAL</t>
  </si>
  <si>
    <t>orbit-screenshot-f32-g10.png</t>
  </si>
  <si>
    <t>WEATFMVQYHCLUIBZCDZ
PQLUCFGRQAXXLGTITREK
FTWUJWECUKUMAOJKARP
HPAITEXPURNKQYQHOSZH
OWECDAHTVWPPSYPONNAL</t>
  </si>
  <si>
    <t>orbit-screenshot-f32-g11.png</t>
  </si>
  <si>
    <t>WEATFMVOYHCLUIBZCDZ
POLQFFGROAXXLGTIRGIEK
FTWUWENQKUMAOJKARAP
HPAHTEXPURNKYQYHOSZH
OWECDAHTVWPSYPQNNAL</t>
  </si>
  <si>
    <t>orbit-screenshot-f32-g12.png</t>
  </si>
  <si>
    <t>WEATFMVQYHCLUIBZCDZ
PQLICFFGRQAXXLGITRTGK
FTWUW[UNK]NQKUMAQUKARP
HPAHTEXPUR[UNK]YQYHOSZH
OWECDAHTVW[UNK]SYQPNNAL</t>
  </si>
  <si>
    <t>orbit-screenshot-f32-g13.png</t>
  </si>
  <si>
    <t>WEATFMVQYHCLUIBZCDZ
PQLCFGRQAXXLGTTTGTK
FTWUWWNQKUMAQUKARP
HPAHTEXPURNKYQYHOSZH
OWECDAHTVWPSYPQNNAL</t>
  </si>
  <si>
    <t>orbit-screenshot-f32-g14.png</t>
  </si>
  <si>
    <t>WEATFMVQYHCLUIBZCDZ
PQLLCFGRQAXXLGTTIRGK
FTWUWFENJQKUMAQUKARP
HPAHTEXPURNKYQYHOSZH
OWECDAHTVWPPPSYPQNNAL</t>
  </si>
  <si>
    <t>orbit-screenshot-f32-g15.png</t>
  </si>
  <si>
    <t>WEATFMVQYHCLUIBZCDZ
POLCCFGRQJAXXLGITRTGK
FTWUWFNQKUMAOJKARP
HPAHTEXPURNKYQYHOSZH
OWECDAHTVWPPSYPQNNAL</t>
  </si>
  <si>
    <t>orbit-screenshot-f32-g16.png</t>
  </si>
  <si>
    <t>WEATFMVQYHCLUIBZCDZ
POLCCFGROAXXLGITRTGK
FTWUWENJQKUMAOJUKARP
HPAHTEXPURNKYQYHOSZH
OWECDAHTVW[P?]SYPQNNAL</t>
  </si>
  <si>
    <t>orbit-screenshot-f32-g17.png</t>
  </si>
  <si>
    <t>WEATFMVQYHCLUIBZCDZ
PQLCFFGRQJAXXLGITRTGK
FTWUWFUJQKUMAQUKARP
HPAHTEXPURNKYQYHOSZH
OWECDAHTVWPPSYPQNNAL</t>
  </si>
  <si>
    <t>orbit-screenshot-f32-g18.png</t>
  </si>
  <si>
    <t>WEATFMVQYHCLUIBZCDZ
POLCCFGRQJAXXLGITRTGK
FTWUWELNQKUMAOJUKARP
HPAHTEXPURNKYQYHOSZH
OWECDAHTVWPPPSYPQNNAL</t>
  </si>
  <si>
    <t>orbit-screenshot-f32-g19.png</t>
  </si>
  <si>
    <t>WEATFMVQYHCLUIBZCDZ
PQLCFGRQAXXLGTTIRTGK
FTWUWENJQKUMAQUKARP
HPAHTEXPURNKYQYHOSZH
OWECDAHTVWPPPSYPQNNAL</t>
  </si>
  <si>
    <t>orbit-screenshot-f32-g20.png</t>
  </si>
  <si>
    <t>WEATFMVQYHCLUIBZCDZ
PQLCFFGRQAXXLGTTRTGK
FTWUWFUQKUMAQKARP
HPAHTEXPURNKYQYHOSZH
OWECDAHTVWPPPSYPQNNAL</t>
  </si>
  <si>
    <t>orbit-screenshot-f32-g21.png</t>
  </si>
  <si>
    <t>WEATFMVQYHCLIUIBZCDZ
PQLCFFGRQAXXLGTTTRGK
FTWUWEUOJKUMAOAKARP
HPAHTEXPURNKYQYHOSZH
OWECDAHTVWPPSSYPQNNAL</t>
  </si>
  <si>
    <t>orbit-screenshot-f32-g22.png</t>
  </si>
  <si>
    <t>WEATFMVQYHCLUIBZCDZ
PQLCFFGRQAXXLGTRTGK
FTWUUWEUQKUMAQUKARP
HPAHTEXPURNKYQYHOSZH
OWECDAHTVWPPSYPQNNAL</t>
  </si>
  <si>
    <t>orbit-screenshot-f32-g23.png</t>
  </si>
  <si>
    <t>WEATFMVQYHCLUIBZCDZ
PQLCFFGRQAXXLGITRTGK
FTWUWELQJKUMAQUKARP
HPAHTEXPURNKYQYHOSZH
OWECDAHTVWPPSYPQNNAL</t>
  </si>
  <si>
    <t>orbit-screenshot-f32-g24.png</t>
  </si>
  <si>
    <t>WEATFMVQYHCLUIBZCDZ
PQLCFFGRQAXXLGITRTGK
FTWUUEWJQKUMAQUKARP
HPAHTEXPURNKYQYHOSZH
OWECDAHTVWVPSYPQNNAL</t>
  </si>
  <si>
    <t>orbit-screenshot-f32-g25.png</t>
  </si>
  <si>
    <t>WEATFMVQYHCLUIBZCDZ
PQLCFFGRQAXXLGTTRTGK
FTWUWFWEUQKUMAQUKARP
HPAHTEXPURNKYQYHOSZH
OWECDAHTVWPPSYPQNNAL</t>
  </si>
  <si>
    <t>orbit-screenshot-f32-g26.png</t>
  </si>
  <si>
    <t>WEATFMVQYHCLUIBZCDZ
PQLCFFGRQAXXLGTT[UNK]TGK
FTWUWENJQKUMAOUKARP
HPAHTEXPURNKYQYHOSZH
OWECDAHTVWPPPSYPQNNAL</t>
  </si>
  <si>
    <t>orbit-screenshot-f32-g27.png</t>
  </si>
  <si>
    <t>WEATFMVQYHCLUIBZCDZ
PQLCFFGRQAXXLGTT[UNK]TGK
FTWU[UNK]WELUQKUMAOQKARP
HPAHTEXPURNKYQYHOSZH
OWECDAHTVWPPSYPQNNAL</t>
  </si>
  <si>
    <t>orbit-screenshot-f32-g28.png</t>
  </si>
  <si>
    <t>WEATFMVQYHCLUIBZCDZ
PQLCFFGRQAXXLGTTIRTGK
FTWUUWEUJQKUMAOQUKARP
HPAHTEXPURNKYQYHOSZH
OWECDAHTVWPPPSYPQNNAL</t>
  </si>
  <si>
    <t>orbit-screenshot-f32-g29.png</t>
  </si>
  <si>
    <t>WEATFMVQYHCLUIBZCDZ
PQLCFFGRQAXXLGITRTGK
FTWUUWEUQJOKUMAQKARP
HPAHTEXPURNKYQYHOSZH
OWECDAHTVWPPPSYPQNNAL</t>
  </si>
  <si>
    <t>orbit-screenshot-f32-g30.png</t>
  </si>
  <si>
    <t>WEATFMVQYHCLUIBZCDZ
PQLCFFGRQAXXLGTIRTGK
FTWUWELJQKUMAOJKARP
HPAHTEXPURNKYQYHOSZH
OWECDAHTWWPPSYPQNNAL</t>
  </si>
  <si>
    <t>orbit-screenshot-f32-g31.png</t>
  </si>
  <si>
    <t>WEATFMVQYHCLUIBZCDZ
PQLCFFGRQAXXLGTTIRGK
FTWUWELJQKUMAQKARP
HPAHTEXPURNKYQYHOSZH
OWECDAHTVWPPPSYPQNNAL</t>
  </si>
  <si>
    <t>orbit-screenshot-f32-g32.png</t>
  </si>
  <si>
    <t>orbit-screenshot-f40-g01.png</t>
  </si>
  <si>
    <t>orbit-screenshot-f40-g02.png</t>
  </si>
  <si>
    <t>orbit-screenshot-f40-g03.png</t>
  </si>
  <si>
    <t>orbit-screenshot-f40-g04.png</t>
  </si>
  <si>
    <t>orbit-screenshot-f40-g05.png</t>
  </si>
  <si>
    <t>WEATFMVOYHCLUIJBZCDZ
POLCFFGROAXXLGTFTGK
FWJJUWEJDOKUMAOUKARP
HPAAFTEXPURMNYDYHOSZH
OMECDAHTAWPRPSYONNAL</t>
  </si>
  <si>
    <t>orbit-screenshot-f40-g06.png</t>
  </si>
  <si>
    <t>WEATFMVQYHCLJUBZCDZ
POLCFFROAXXLGTRTGK
FTWJUWEIJQKUMAOUKARP
HPAHTEX[UNK]UR[UNK]KYQYH[UNK]S[UNK]H
OWECDAHT[UNK]WPPSYQNNAL</t>
  </si>
  <si>
    <t>orbit-screenshot-f40-g07.png</t>
  </si>
  <si>
    <t>WEATFMVOYHCLJUBZCDZ
POLCFFGROAXXLGTIRTK
FTWJUWEIJQKUMADUKARP
HPAHTEXPURNKYOYHOSZH
OWECCDAHTVW PPSYPONNAL</t>
  </si>
  <si>
    <t>orbit-screenshot-f40-g08.png</t>
  </si>
  <si>
    <t>WEATFMVQYHCLIUIBZCDZ
POLCFFGROAXXLGITRTGK
FTWUUWEIJQKUMAOUKARP
HPAHTEXPURNKYQYHOSZH
OWECDAHTWPPSYPQNNAL</t>
  </si>
  <si>
    <t>orbit-screenshot-f40-g09.png</t>
  </si>
  <si>
    <t>WEATFMVQYHCLIUIBZCDZ
PQLCFFGROAXXLGTIRTGK
FTWJUEWEIJQKUMAOUKARP
HPAHTEXPURNKYQYHOSZH
OWECD AHTWWPPSYQNNAL</t>
  </si>
  <si>
    <t>orbit-screenshot-f40-g10.png</t>
  </si>
  <si>
    <t>WEATFMVQYHCLIUIBZCDZ
PQLCFFGROAXXLGTIRTGK
FTWJUVEIJQKUMAOUKARP
HPAHTEXPURNKYQYHOSZH
OWECDAHTWPPSYPQNANL</t>
  </si>
  <si>
    <t>orbit-screenshot-f40-g11.png</t>
  </si>
  <si>
    <t>WEATFMVQYHCLIUIBZCDZ
PQLCFFGRQAXXLGTIRTGK
FTWUUWEIJQKUMAOUKARP
HPAHTEXPURNKYQYHOSZH
OWECDAHTWWPPSYPQNNAL</t>
  </si>
  <si>
    <t>orbit-screenshot-f40-g12.png</t>
  </si>
  <si>
    <t>WEATFMVQYHCLIUIBZCDZ
PQLCFFGRQAXXLGTIRTGK
FTWUUWEIJQKUMAOUKARP
HPAHTEXPURWKYQYHOSZH
OWECDAHTWWPPSYPQNAL</t>
  </si>
  <si>
    <t>orbit-screenshot-f40-g13.png</t>
  </si>
  <si>
    <t>WEATFMVQYHCLIUIBZCDZ
PQLCFFGRQAXXLGTIR TGK
FTWUUWEIJQKUMAOUKARP
HPAHTEXPURWKYQYHOSZH
OWECDAHTWWPPSYPQNNAL</t>
  </si>
  <si>
    <t>orbit-screenshot-f40-g14.png</t>
  </si>
  <si>
    <t>WEATFMVQYHCLIUIBZCDZ
PQLCFFGRQAXXLGTIRTGK
FTWUUWEIJQKUMAOUKARP
HPAHTEXPURNKYQYHOSZH
OWECDAHTWPPSYPQNNAL</t>
  </si>
  <si>
    <t>orbit-screenshot-f40-g15.png</t>
  </si>
  <si>
    <t>WEATFMVQYHCLIUIBZCDZ
PQLCFFGRQAXXLG TIR TGK
FTWUUWEIJQKUMAOUKARP
HPAHTEXPURNKYQYHOSZH
OWECDAHTWWPPSYPQNNAL</t>
  </si>
  <si>
    <t>orbit-screenshot-f40-g16.png</t>
  </si>
  <si>
    <t>WEATFMVQYHCLUIBZCDZ
PQLCFFGRQAXXLG TIR TGK
FTWUWEIJQKUMAOUKARP
HPAHTEXPURNKYQYHOSZH
OWECDAHTWWPSYPQNNAL</t>
  </si>
  <si>
    <t>orbit-screenshot-f40-g17.png</t>
  </si>
  <si>
    <t>WEATFMVQYHCLIUIBZCDZ
PQLCFFGRQAXXLG TIRTGK
FTWUUWEIJQKUMAOUKARP
HPAHTEXPURNKYQYHOSZH
OWECDAHTWWPPSYPQNNAL</t>
  </si>
  <si>
    <t>orbit-screenshot-f40-g18.png</t>
  </si>
  <si>
    <t>WEATFMVQYHCLIUIBZCDZ
PQLCFFGRQAXXLGTIRTGK
FTWUUWEIJQKUMAOOUKARP
HPAHTEXPURNKYQYHOSZH
OWECDAHTWWPPSYPQNNAL</t>
  </si>
  <si>
    <t>orbit-screenshot-f40-g19.png</t>
  </si>
  <si>
    <t>orbit-screenshot-f40-g20.png</t>
  </si>
  <si>
    <t>WEATFMVQYHCLIUIBZCDZ
PQLCFFGRQAXXLGTIRTGK
FTWUUWEIJQKUMAOUKARP
HPAHTEXPURNKYQYHOSZH
OWECDAHTVW PPSYPQNNAL</t>
  </si>
  <si>
    <t>orbit-screenshot-f40-g21.png</t>
  </si>
  <si>
    <t>WEATFMVQYHCLIUIBZCDZ
PQLCFFGRQAXXLGTIRTGK
FTWUUWEIJQKUMAOUKARP
HPAHTEXPURNKYQYHOSZH
OWECDAHTWWPSYPQNNAL</t>
  </si>
  <si>
    <t>orbit-screenshot-f40-g22.png</t>
  </si>
  <si>
    <t>WEATFMVQYHCLUIIBZCDZ
PQLCFFGRQAXXLG TIR TGK
FTWUUWEIJQKUMAO[UNK]UKARP
HPAHTEXPURNKYQYHOSZH
OWECDAHTVW PPSYPQNNAL</t>
  </si>
  <si>
    <t>orbit-screenshot-f40-g23.png</t>
  </si>
  <si>
    <t>WEATFMVQYHCLUIBZCDZ
PQLCFFGRQAXXLG TIRTGK
FTWUWEIJQKUMAOUKARP
HPAHTEXPURNKYQYHOSZH
OWECDAHTVWPPSYPQNNAL</t>
  </si>
  <si>
    <t>orbit-screenshot-f40-g24.png</t>
  </si>
  <si>
    <t>WEATFMVQYHCLIUIBZCDZ
PQLCFFGRQAXXLGTRTGK
FTWUUWEIJQKUMAOUKARP
HPAHTEXPURNKYQYHOSZH
OWECDAHTWWPPSYPQNNAL</t>
  </si>
  <si>
    <t>orbit-screenshot-f40-g25.png</t>
  </si>
  <si>
    <t>WEATFMVQYHCLIUIBZCDZ
PQLCFFGRQAXXLG TIRTGK
FTWUUWEIJQKUMAOUKARP
HPAHTEXPURNKYQYHOSZH
OWECDAHTWWPSYPQNNAL</t>
  </si>
  <si>
    <t>orbit-screenshot-f40-g26.png</t>
  </si>
  <si>
    <t>WEATFMVQYHCLIUIBZCDZ
PQLCFFGRQAXXLG TIRTGK
FTWUUWEIJQKUMAOUKARP
HPAHTEXPURNKYQYHOSZH
OWECDAHTVW PPSYPQNNAL</t>
  </si>
  <si>
    <t>orbit-screenshot-f40-g27.png</t>
  </si>
  <si>
    <t>orbit-screenshot-f40-g28.png</t>
  </si>
  <si>
    <t>orbit-screenshot-f40-g29.png</t>
  </si>
  <si>
    <t>orbit-screenshot-f40-g30.png</t>
  </si>
  <si>
    <t>WEATFMVQYHCLIUIBZCDZ
PQLCFFGRQAXXLGTIRTGK
FTWUUWEIJQKUMAO[UNK]KARP
HPAHTEXPURNKYQYHOSZH
OWECDAHTVW PPSYPQNNAL</t>
  </si>
  <si>
    <t>orbit-screenshot-f40-g31.png</t>
  </si>
  <si>
    <t>orbit-screenshot-f40-g32.png</t>
  </si>
  <si>
    <t>orbit-screenshot-f48-g01.png</t>
  </si>
  <si>
    <t>orbit-screenshot-f48-g02.png</t>
  </si>
  <si>
    <t>orbit-screenshot-f48-g03.png</t>
  </si>
  <si>
    <t>WEATEMWOYHCULJBZCDZ
POLCFF[UNK]ROAXXL[UNK]T[UNK]RTGK
FTWU[UNK]WE[UNK]OK[UNK]MAOUKARP
HPAHTEX[UNK]URNKY[UNK]YHOSZH
[UNK]WECDAHTWVPPSY[UNK]OHNAL</t>
  </si>
  <si>
    <t>orbit-screenshot-f48-g04.png</t>
  </si>
  <si>
    <t>WEATFMVOYHCLIUIBZCDZ
PQLCFFGRDAXXLC TIRTGK
FTWUUWEIJQKUMAOJKARP
HPAHTEXPURNKYQYHOSZH
QWEQDAHTWVPPSYPONNAL</t>
  </si>
  <si>
    <t>orbit-screenshot-f48-g05.png</t>
  </si>
  <si>
    <t>WEATFMVQYHCLUIBZCDZ
PQLCFFGRQAXXLGTIRTGK
FTWUUWEIJQKUMAOUKARP
HPAHTEXPURNKYQYHOSZH
QWECPDAHTWVPPSYPONNAL</t>
  </si>
  <si>
    <t>orbit-screenshot-f48-g06.png</t>
  </si>
  <si>
    <t>WEATFMVQYHCLIUIBZCDZ
PQLCFFGROAXXLGTIRTGK
FTWUUWEIJQKUMAOUKARP
HPAHTEXPURNKYCYYHOSZH
QWE CDAHTWVPPSYPONNAL</t>
  </si>
  <si>
    <t>orbit-screenshot-f48-g07.png</t>
  </si>
  <si>
    <t>WEATFMVQYHCLUIBZCDZ
PQLCFFGROAXXLGTIRTGK
FTWUUWEIJQKUMAOOUKARP
HPAHTEXPURNKYQYHOSZH
OWECDAHTVVPPSYPONNAL</t>
  </si>
  <si>
    <t>orbit-screenshot-f48-g08.png</t>
  </si>
  <si>
    <t>WEATFMVQYHCLIUIBZCDZ
PQLCFFGRQAXXLG TIRTGK
FTWUUWEIJQKUMAO UKARP
HPAHTEXPURNKYQYHOSZH
OWECDAHTVW PPSYPONNAL</t>
  </si>
  <si>
    <t>orbit-screenshot-f48-g09.png</t>
  </si>
  <si>
    <t>WEATFMVQYHCLUIBZCDZ
PQLCFFGRQAXXLG TIRTGK
FTWUUWELJQKUMAOUKARP
HPAHTEXPURNKYQYHOSZH
OWECDAHTVWPPSYPQNNAL</t>
  </si>
  <si>
    <t>orbit-screenshot-f48-g10.png</t>
  </si>
  <si>
    <t>WEATFMVQYHCLUIJBZCDZ
PQLCFFGRQAXXLG TIRTGK
FTWUUWEIJQKUMAOUKARP
HPAHTEXPURNKYQYHOSZH
OWECDAHTWVPPSYPQNNAL</t>
  </si>
  <si>
    <t>orbit-screenshot-f48-g11.png</t>
  </si>
  <si>
    <t>WEATFMVQYHCLIUIBZCDZ
PQLCFFGRQAXXLG TIRTGK
FTWUUWELJQKUMAOኼKARP
HPAHTEXPURNKYQYHOSZH
OWECDAHTVW PPSYPQNNAL</t>
  </si>
  <si>
    <t>orbit-screenshot-f48-g12.png</t>
  </si>
  <si>
    <t>WEATFMVQYHCLIUIBZCDZ
PQLCFFGRQAXXLG TIRTGK
FTWUUWEIJQKUMAOOUKARP
HPAHTEXPURNKYQYHOSZH
QWE CDAHTVWPPSYPQNNAL</t>
  </si>
  <si>
    <t>orbit-screenshot-f48-g13.png</t>
  </si>
  <si>
    <t>WEATFMVQYHCLUIBZCDZ
PQLCFFGRQAXXLG TIRTGK
FTWUUWEIJQKUMAOOUKARP
HPAHTEXPURNKYQYHOSZH
OWECDAHTVW PPSYPQNNAL</t>
  </si>
  <si>
    <t>orbit-screenshot-f48-g14.png</t>
  </si>
  <si>
    <t>WEATFMVQYHCLUIBZCDZ
PQLCFFGRQAXXLGTIRTGK
FTWUUWEIJQKUMAOUKARP
HPAHTEXPURNKYQYHOSZH
OWECDAHTVWPPSYPQNNAL</t>
  </si>
  <si>
    <t>orbit-screenshot-f48-g15.png</t>
  </si>
  <si>
    <t>orbit-screenshot-f48-g16.png</t>
  </si>
  <si>
    <t>orbit-screenshot-f48-g17.png</t>
  </si>
  <si>
    <t>WEATFMVQYHCLUIBZCDZ
PQLCFFGRQAXXLG TIRTGK
FTWUUWEIJQKUMAOUKARP
HPAHTEXPURNKYQYHOSZH
OWECDAHTVW PPSYPQNNAL</t>
  </si>
  <si>
    <t>orbit-screenshot-f48-g18.png</t>
  </si>
  <si>
    <t>orbit-screenshot-f48-g19.png</t>
  </si>
  <si>
    <t>WEATFMVQYHCLIUIBZCDZ
PQLCFFGRQAXXLG TIR TGK
FTWUUWEIJQKUMAOUKARP
HPAHTEXPURNKYQYHOSZH
OWECDAHTVWPPSYPQNNAL</t>
  </si>
  <si>
    <t>orbit-screenshot-f48-g20.png</t>
  </si>
  <si>
    <t>orbit-screenshot-f48-g21.png</t>
  </si>
  <si>
    <t>WEATFMVQYHCLIUIBZCDZ
PQLCFFGRQAXXLG TIRTGK
FTWUUWEIJQKUMAO UUKARP
HPAHTEXPURNKYQYHOSZH
OWECDAHTVW PPSYPQNNAL</t>
  </si>
  <si>
    <t>orbit-screenshot-f48-g22.png</t>
  </si>
  <si>
    <t>WEATFMVQYHCLIUIBZCDZ
PQLCFFGRQAXXLG TIRTGK
FTWUUWEIJQKUMAOÜKARP
HPAHTEXPURNKYQYHOSZH
OWECDAHTVWPPSYPQNNAL</t>
  </si>
  <si>
    <t>orbit-screenshot-f48-g23.png</t>
  </si>
  <si>
    <t>WEATFMVQYHCLIUIBZCDZ
PQLCFFGRQAXXLG TIRTGK
FTWUUWEIJQKUMAOJUKARP
HPAHTEXPURNKYQYHOSZH
OWECDAHTVW PPSYPQNNAL</t>
  </si>
  <si>
    <t>orbit-screenshot-f48-g24.png</t>
  </si>
  <si>
    <t>WEATFMVQYHCLIUIBZCDZ
PQLCFFGRQAXXLGIRTGK
FTWUUWEIJQKUMAOUKARP
HPAHTEXPURNKYQYHOSZH
OWECDAHTVW PPSYPQNNAL</t>
  </si>
  <si>
    <t>orbit-screenshot-f48-g25.png</t>
  </si>
  <si>
    <t>WEATFMVQYHCLIUIBZCDZ
PQLCFFGRQAXXLGITRTGK
FTWUUWEIJQKUMAOUKARP
HPAHTEXPURNKYQYHOSZH
OWECDAHTVWPPSYPQNNAL</t>
  </si>
  <si>
    <t>orbit-screenshot-f48-g26.png</t>
  </si>
  <si>
    <t>WEATFMVQYHCLIUIBZCDZ
PQLCFFGRQAXXLG TIRTGK
FTWUUWEIJQKUMAOUKARP
HPAHTEXPURNKYQYHOSZH
OWECDAHTVWPPSYPQNNAL</t>
  </si>
  <si>
    <t>orbit-screenshot-f48-g27.png</t>
  </si>
  <si>
    <t>orbit-screenshot-f48-g28.png</t>
  </si>
  <si>
    <t>WEATFMVQYHCLIUIBZCDZ
PQLCFFGRQAXXLG TIRTGK
FTWUUWEIJQKUMAOOUKARP
HPAHTEXPURNKYQYHOSZH
OWECDAHTVWPPSYPQNNAL</t>
  </si>
  <si>
    <t>orbit-screenshot-f48-g29.png</t>
  </si>
  <si>
    <t>orbit-screenshot-f48-g30.png</t>
  </si>
  <si>
    <t>WEATFMVQYHCLIUIBZCDZ
PQLCFFGRQAXXLG TIRTGK
FTWUUWEIJQKUMAOOUKARP
HPAHTEXPURNKYQYHOSZH
OWECDAHTVW PPSYPQNNAL</t>
  </si>
  <si>
    <t>orbit-screenshot-f48-g31.png</t>
  </si>
  <si>
    <t>WEATFMVQYHCLIUIBZCDZ
PQLCFFGRQAXXLG TIRTGK
FTWUUWEIJQKUMAOUKARP
HPAHTEXPURNKYQYHOSZH
OWECDAHTVVPPSYPQNNAL</t>
  </si>
  <si>
    <t>orbit-screenshot-f48-g32.png</t>
  </si>
  <si>
    <t>orbit-screenshot-f64-g01.png</t>
  </si>
  <si>
    <t>orbit-screenshot-f64-g02.png</t>
  </si>
  <si>
    <t>WEATHMVOYHCLLUBZCDZ
FOLGFFGRQAXXLETRTCK
FTWUDWEI[UNK]JOKUMAO[UNK]KARP
HPAHTEX[UNK]L[UNK]RHKYOV[UNK]HOSZH
OWEODAH[UNK]TV[UNK]PPS[UNK]PONNAL</t>
  </si>
  <si>
    <t>orbit-screenshot-f64-g03.png</t>
  </si>
  <si>
    <t>WEATEMVOYHCLUIJBZCDZ
POLGFFGROAXXLGTRTCK
FTWOUWEI[UNK]JOKUMAODUKARP
HPAHTEX[UNK]URHKY[UNK]YHOSZH
OWECDAHFTVWPPSTYONNAL</t>
  </si>
  <si>
    <t>orbit-screenshot-f64-g04.png</t>
  </si>
  <si>
    <t>WEATFMVOYHCLUIJBZCDZ
POLCFFGROAXXLGTIRTGK
FTWOUUWEIJOKUMAOUIKARP
HPAHTEXPURJNKYOVHOSZH
OWECDAHTVWPPSYPQNNAL</t>
  </si>
  <si>
    <t>orbit-screenshot-f64-g05.png</t>
  </si>
  <si>
    <t>WEATFMVOYHCLJUBZCDZ
FQLCFFGRQAXXLGTIRTGK
FTWUUWEIJQKUMAOOUKARP
HPAHTFXPURNKYOVHOSZH
OWECDAHTVWPPSYPQNNAL</t>
  </si>
  <si>
    <t>orbit-screenshot-f64-g06.png</t>
  </si>
  <si>
    <t>WEATFMVOYHCLUIBZCDZ
POLCFFGRQAXXLGTIRTGK
FTWUUWEIJQKUMAOUKARP
HPAHTEXPLURNKYQYHOSZH
OWECDAHTVWPPSYPQNNAL</t>
  </si>
  <si>
    <t>orbit-screenshot-f64-g07.png</t>
  </si>
  <si>
    <t>WEATFMVQYHCLUIJBZCDZ
PQLCFFGRQAXXLG TIRTGK
FTWUUWEIJQKUMAOOUKARP
HPAHTEXPLJR NKYQYHOSZH
OWECDAHTVW PPSYPQNNAL</t>
  </si>
  <si>
    <t>orbit-screenshot-f64-g08.png</t>
  </si>
  <si>
    <t>WEATFMVQYHCLUIBZCDZ
PQLCFFGRQAXXLG TIR TGK
FTWUUWEIJQKUMAOUKARP
HPAHTEXPLIRNKYQYHOSZH
OWECDAHTVWPPSYPQNNAL</t>
  </si>
  <si>
    <t>orbit-screenshot-f64-g09.png</t>
  </si>
  <si>
    <t>WEATFMVQYHCLUIJBZCDZ
PQLCFFGRQAXXLGTIRTGK
FTWUUWEIJQKUMAOUKARP
HPAHTEXPURNKYQYHOSZH
OWECDAHTVWPPSYPQNNAL</t>
  </si>
  <si>
    <t>orbit-screenshot-f64-g10.png</t>
  </si>
  <si>
    <t>WEATFMVQYHCLUIBZCDZ
PQLCFFGRQAXXLGTTIRTGK
FTWUUWEIJQKUMAOUKARP
HPAHTEXPULRNKYQYHOSZH
OWECDAHTVW PPSYPQNNAL</t>
  </si>
  <si>
    <t>orbit-screenshot-f64-g11.png</t>
  </si>
  <si>
    <t>WEATFMVQYHCLUIJBZCDZ
PQLCFFGRQAXXLGTIRTGK
FTWUUWEIJQKUMAOUKARP
HPAHTEXPLURNKYQYHOSZH
OWECDAHTVWPPSYPQNNAL</t>
  </si>
  <si>
    <t>orbit-screenshot-f64-g12.png</t>
  </si>
  <si>
    <t>WEATFMVQYHCLIUIBZCDZ
PQLCFFGRQAXXLGTIRTGK
FTWUUWEIJQKUMAOUKARP
HPAHTEXP UJR NKYQYHOSZH
OWECDAHTVW PPSYPQNNAL</t>
  </si>
  <si>
    <t>orbit-screenshot-f64-g13.png</t>
  </si>
  <si>
    <t>orbit-screenshot-f64-g14.png</t>
  </si>
  <si>
    <t>WEATFMVQYHCLJUIBZCDZ
PQLCFFGRQAXXLG TIRTGK
FTWUUWEIJQKUMAOUKARP
HPAHTEXPURNKYQYHOSZH
OWECDAHTVW PPSYPQNNAL</t>
  </si>
  <si>
    <t>orbit-screenshot-f64-g15.png</t>
  </si>
  <si>
    <t>WEATFMVQYHCLUIJBZCDZ
PQLCFFGRQAXXLG TIRTGK
FTWUUWEIJQKUMAOUKARP
HPAHTEXPURNKYQYHOSZH
OWECDAHTVW PPSYPQNNAL</t>
  </si>
  <si>
    <t>orbit-screenshot-f64-g16.png</t>
  </si>
  <si>
    <t>WEATFMVQYHCLUIJBZCDZ
PQLCFFGRQAXXLG TIRT GK
FTWUUWEIJQKUMAOUKARP
HPAHTEXPURNKYQYHOSZH
OWECDAHTVW PPSYPQNNAL</t>
  </si>
  <si>
    <t>orbit-screenshot-f64-g17.png</t>
  </si>
  <si>
    <t>WEATFMVQYHCLJUBZCDZ
PQLCFFGRQAXXLG TIRTGK
FTWUUWEIJQKUMAOUKARP
HPAHTEXPURNKYQYHOSZH
OWECDAHTVWPPSYPQNNAL</t>
  </si>
  <si>
    <t>orbit-screenshot-f64-g18.png</t>
  </si>
  <si>
    <t>WEATFMVQYHCLJUIBZCDZ
PQLCFFGRQAXXLGTIRTGK
FTWUUWEIJQKUMAOUKARP
HPAHTEXPURNKYQYHOSZH
OWECDAHTVWPPSYPQNNAL</t>
  </si>
  <si>
    <t>orbit-screenshot-f64-g19.png</t>
  </si>
  <si>
    <t>orbit-screenshot-f64-g20.png</t>
  </si>
  <si>
    <t>WEATFMVQYHCLIUIBZCDZ
PQLCFFGRQAXXLTIRTGK
FTWUUWEIJQKUMAOUKARP
HPAHTEXPURNKYQYHOSZH
OWECDAHTVWPPSYPQNNAL</t>
  </si>
  <si>
    <t>orbit-screenshot-f64-g21.png</t>
  </si>
  <si>
    <t>WEATFMVQYHCLJIUBZCDZ
PQLCFFGRQAXXLG TIR TGK</t>
  </si>
  <si>
    <t>orbit-screenshot-f64-g22.png</t>
  </si>
  <si>
    <t>orbit-screenshot-f64-g23.png</t>
  </si>
  <si>
    <t>WEATFMVQYHCLIUIBZCDZ
PQLCFFGRQAXXLGTRTGK
FTWUUWEIJQKUMAOUKARP
HPAHTEXPJURNKYQYHOSZH
OWECDAHTVW PPSYPQNNAL</t>
  </si>
  <si>
    <t>orbit-screenshot-f64-g24.png</t>
  </si>
  <si>
    <t>WEATFMVQYHCLIUIBZCDZ
PQLCFFGRQAXXLG TIRTGK
FTWUUWEIJQKUMAO U KARP
HPAHTEXPJURNKYQYHOSZH
OWECDAHTVW PPSYPQNNAL</t>
  </si>
  <si>
    <t>orbit-screenshot-f64-g25.png</t>
  </si>
  <si>
    <t>WEATFMVQYHCLUIBZDZ
PQLCFFGRQAXXLG TIRTGK
FTWUUWEIJQKUMAOUKARP
HPAHTEXPURNKYQYHOSZH
OWECDAHTVW PPSYPQNNAL</t>
  </si>
  <si>
    <t>orbit-screenshot-f64-g26.png</t>
  </si>
  <si>
    <t>orbit-screenshot-f64-g27.png</t>
  </si>
  <si>
    <t>WEATFMVQYHCLUIJBZCDZ
PQLCFFGRQAXXLG TIRTGK
FTWUUWEIJQKUMAOUKARP
HPAHTEXPJURNKYQYHOSZH
OWECDAHTVWPPSYPQNNAL</t>
  </si>
  <si>
    <t>orbit-screenshot-f64-g28.png</t>
  </si>
  <si>
    <t>WEATFMVQYHCLIUIBZCDZ
PQLCFFGRQAXXLG TIR TGK
FTWUUWEIJQKUMAOUKARP
HPAHTFXPURNKYQYHOSZH
OWECDAHTVW PPSYPQNNAL</t>
  </si>
  <si>
    <t>orbit-screenshot-f64-g29.png</t>
  </si>
  <si>
    <t>WEATFMVQYHCLJUBZCDZ
PQLCFFGRQAXXLG TIRTGK
FTWUUWEIJQKUMAOUKARP
HPAHTEXPJURNKYQYHOSZH
OWECDAHTVWPPSYPQNNAL</t>
  </si>
  <si>
    <t>orbit-screenshot-f64-g30.png</t>
  </si>
  <si>
    <t>WEATFMVQYHCLIUIBZCDZ
PQLCFFGRQAXXLTGIRTGK
FTWUUWEIJQKUMAOUKARP
HPAHTEXPURNKYQYHOSZH
OWECDAHTVWPPSYPQNNAL</t>
  </si>
  <si>
    <t>orbit-screenshot-f64-g31.png</t>
  </si>
  <si>
    <t>WEATFMVQYHCLJUIBZCDZ
PQLCFFGRQAXXLG TIRTGK
FTWUUWEIJQKUMAOUKARP
HPAHTFXPURNKYQYHOSZH
OWECDAHTVW PPSYPQNNAL</t>
  </si>
  <si>
    <t>orbit-screenshot-f64-g32.png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</si>
</sst>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name val="Carlito"/>
      <charset val="134"/>
    </font>
    <font>
      <sz val="11"/>
      <color rgb="FF000000"/>
      <name val="Arial"/>
      <charset val="134"/>
    </font>
    <font>
      <b/>
      <sz val="16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1" fillId="0" borderId="0" xfId="49" applyNumberFormat="1" applyFont="1" applyFill="1" applyBorder="1" applyAlignment="1">
      <alignment vertical="top" wrapText="1"/>
    </xf>
    <xf numFmtId="0" fontId="3" fillId="2" borderId="1" xfId="49" applyNumberFormat="1" applyFont="1" applyFill="1" applyBorder="1" applyAlignment="1">
      <alignment horizontal="center" vertical="center"/>
    </xf>
    <xf numFmtId="0" fontId="1" fillId="3" borderId="1" xfId="49" applyNumberFormat="1" applyFont="1" applyFill="1" applyBorder="1" applyAlignment="1">
      <alignment vertical="center"/>
    </xf>
    <xf numFmtId="0" fontId="1" fillId="3" borderId="1" xfId="49" applyNumberFormat="1" applyFont="1" applyFill="1" applyBorder="1" applyAlignment="1">
      <alignment vertical="top" wrapText="1"/>
    </xf>
    <xf numFmtId="10" fontId="3" fillId="0" borderId="0" xfId="49" applyNumberFormat="1" applyFont="1" applyFill="1" applyBorder="1" applyAlignment="1">
      <alignment horizontal="center"/>
    </xf>
    <xf numFmtId="2" fontId="3" fillId="0" borderId="0" xfId="49" applyNumberFormat="1" applyFont="1" applyFill="1" applyBorder="1" applyAlignment="1">
      <alignment horizontal="center"/>
    </xf>
    <xf numFmtId="0" fontId="3" fillId="0" borderId="0" xfId="49" applyNumberFormat="1" applyFont="1" applyFill="1" applyBorder="1" applyAlignment="1">
      <alignment horizontal="center"/>
    </xf>
    <xf numFmtId="0" fontId="4" fillId="0" borderId="0" xfId="49" applyNumberFormat="1" applyFont="1" applyFill="1" applyBorder="1"/>
    <xf numFmtId="0" fontId="1" fillId="3" borderId="1" xfId="49" applyNumberFormat="1" applyFont="1" applyFill="1" applyBorder="1" applyAlignment="1">
      <alignment horizontal="right" vertical="center"/>
    </xf>
    <xf numFmtId="1" fontId="1" fillId="3" borderId="1" xfId="49" applyNumberFormat="1" applyFont="1" applyFill="1" applyBorder="1" applyAlignment="1">
      <alignment horizontal="right" vertical="center"/>
    </xf>
    <xf numFmtId="176" fontId="1" fillId="3" borderId="1" xfId="49" applyNumberFormat="1" applyFont="1" applyFill="1" applyBorder="1" applyAlignment="1">
      <alignment horizontal="right" vertical="center"/>
    </xf>
    <xf numFmtId="176" fontId="1" fillId="3" borderId="1" xfId="49" applyNumberFormat="1" applyFont="1" applyFill="1" applyBorder="1" applyAlignment="1">
      <alignment vertical="center"/>
    </xf>
    <xf numFmtId="10" fontId="3" fillId="2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rbitResults" displayName="OrbitResults" ref="A9:M201" totalsRowShown="0">
  <autoFilter xmlns:etc="http://www.wps.cn/officeDocument/2017/etCustomData" ref="A9:M201" etc:filterBottomFollowUsedRange="0"/>
  <tableColumns count="13">
    <tableColumn id="1" name="条件ID"/>
    <tableColumn id="2" name="正确数 /100"/>
    <tableColumn id="3" name="正确率"/>
    <tableColumn id="4" name="错字"/>
    <tableColumn id="5" name="漏字"/>
    <tableColumn id="6" name="多字"/>
    <tableColumn id="7" name="未知符数"/>
    <tableColumn id="8" name="亮度条件"/>
    <tableColumn id="9" name="结果及注意事项"/>
    <tableColumn id="10" name="字号(px)"/>
    <tableColumn id="11" name="灰度差Δg"/>
    <tableColumn id="12" name="轮次"/>
    <tableColumn id="13" name="C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5"/>
  <sheetViews>
    <sheetView showGridLines="0" tabSelected="1" workbookViewId="0">
      <pane ySplit="9" topLeftCell="A10" activePane="bottomLeft" state="frozen"/>
      <selection/>
      <selection pane="bottomLeft" activeCell="H4" sqref="H4"/>
    </sheetView>
  </sheetViews>
  <sheetFormatPr defaultColWidth="9" defaultRowHeight="16.8"/>
  <cols>
    <col min="1" max="1" width="13" customWidth="1"/>
    <col min="2" max="2" width="14" customWidth="1"/>
    <col min="3" max="3" width="13" customWidth="1"/>
    <col min="4" max="6" width="9" customWidth="1"/>
    <col min="7" max="7" width="12" customWidth="1"/>
    <col min="8" max="8" width="20" customWidth="1"/>
    <col min="9" max="9" width="32" customWidth="1"/>
    <col min="10" max="11" width="13" customWidth="1"/>
    <col min="12" max="12" width="11" customWidth="1"/>
    <col min="13" max="13" width="13" customWidth="1"/>
    <col min="15" max="21" width="16" customWidth="1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4" customHeight="1" spans="1:2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1</v>
      </c>
      <c r="P2" s="1"/>
      <c r="Q2" s="1"/>
      <c r="R2" s="1"/>
      <c r="S2" s="1"/>
      <c r="T2" s="1"/>
      <c r="U2" s="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2</v>
      </c>
      <c r="P3" s="1"/>
      <c r="Q3" s="1"/>
      <c r="R3" s="1"/>
      <c r="S3" s="1"/>
      <c r="T3" s="1"/>
      <c r="U3" s="1"/>
    </row>
    <row r="4" spans="1:21">
      <c r="A4" s="1" t="s">
        <v>3</v>
      </c>
      <c r="B4" s="7">
        <f>C203</f>
        <v>0.643854166666667</v>
      </c>
      <c r="C4" s="1" t="s">
        <v>4</v>
      </c>
      <c r="D4" s="8">
        <f>STDEV(C10:C201)*100</f>
        <v>43.7456642079904</v>
      </c>
      <c r="E4" s="1" t="s">
        <v>5</v>
      </c>
      <c r="F4" s="9">
        <f>COUNTA(A10:A201)</f>
        <v>192</v>
      </c>
      <c r="G4" s="10" t="s">
        <v>6</v>
      </c>
      <c r="H4" s="9">
        <f>COUNTIFS(B10:B201,100,F10:F201,0)</f>
        <v>15</v>
      </c>
      <c r="I4" s="1"/>
      <c r="J4" s="1"/>
      <c r="K4" s="1"/>
      <c r="L4" s="1"/>
      <c r="M4" s="1"/>
      <c r="N4" s="1"/>
      <c r="O4" s="1" t="s">
        <v>7</v>
      </c>
      <c r="P4" s="1"/>
      <c r="Q4" s="1"/>
      <c r="R4" s="1"/>
      <c r="S4" s="1"/>
      <c r="T4" s="1"/>
      <c r="U4" s="1"/>
    </row>
    <row r="5" spans="1:21">
      <c r="A5" s="1" t="s">
        <v>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1" t="s">
        <v>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>
      <c r="A7" s="1" t="s">
        <v>10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30" customHeight="1" spans="1:21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4" t="s">
        <v>23</v>
      </c>
      <c r="N9" s="1"/>
      <c r="O9" s="4" t="s">
        <v>24</v>
      </c>
      <c r="P9" s="4" t="s">
        <v>25</v>
      </c>
      <c r="Q9" s="4" t="s">
        <v>26</v>
      </c>
      <c r="R9" s="4" t="s">
        <v>27</v>
      </c>
      <c r="S9" s="4" t="s">
        <v>28</v>
      </c>
      <c r="T9" s="4" t="s">
        <v>29</v>
      </c>
      <c r="U9" s="4" t="s">
        <v>30</v>
      </c>
    </row>
    <row r="10" ht="28" customHeight="1" spans="1:21">
      <c r="A10" s="11" t="s">
        <v>31</v>
      </c>
      <c r="B10" s="12">
        <v>0</v>
      </c>
      <c r="C10" s="13">
        <f t="shared" ref="C10:C73" si="0">B10/100</f>
        <v>0</v>
      </c>
      <c r="D10" s="12">
        <v>0</v>
      </c>
      <c r="E10" s="12">
        <v>100</v>
      </c>
      <c r="F10" s="12">
        <v>0</v>
      </c>
      <c r="G10" s="12">
        <v>0</v>
      </c>
      <c r="H10" s="5" t="s">
        <v>32</v>
      </c>
      <c r="I10" s="5" t="s">
        <v>33</v>
      </c>
      <c r="J10" s="12">
        <v>16</v>
      </c>
      <c r="K10" s="12">
        <v>1</v>
      </c>
      <c r="L10" s="12">
        <v>2</v>
      </c>
      <c r="M10" s="13">
        <f t="shared" ref="M10:M73" si="1">(D10+E10+F10)/100</f>
        <v>1</v>
      </c>
      <c r="N10" s="1"/>
      <c r="O10" s="5">
        <v>1</v>
      </c>
      <c r="P10" s="14">
        <f t="shared" ref="P10:P41" si="2">IF(COUNTIFS($J$10:$J$201,16,$K$10:$K$201,$O10)=0,"未测",AVERAGEIFS($C$10:$C$201,$J$10:$J$201,16,$K$10:$K$201,$O10))</f>
        <v>0</v>
      </c>
      <c r="Q10" s="14">
        <f t="shared" ref="Q10:Q41" si="3">IF(COUNTIFS($J$10:$J$201,24,$K$10:$K$201,$O10)=0,"未测",AVERAGEIFS($C$10:$C$201,$J$10:$J$201,24,$K$10:$K$201,$O10))</f>
        <v>0</v>
      </c>
      <c r="R10" s="14">
        <f t="shared" ref="R10:R41" si="4">IF(COUNTIFS($J$10:$J$201,32,$K$10:$K$201,$O10)=0,"未测",AVERAGEIFS($C$10:$C$201,$J$10:$J$201,32,$K$10:$K$201,$O10))</f>
        <v>0</v>
      </c>
      <c r="S10" s="14">
        <f t="shared" ref="S10:S41" si="5">IF(COUNTIFS($J$10:$J$201,40,$K$10:$K$201,$O10)=0,"未测",AVERAGEIFS($C$10:$C$201,$J$10:$J$201,40,$K$10:$K$201,$O10))</f>
        <v>0</v>
      </c>
      <c r="T10" s="14">
        <f t="shared" ref="T10:T41" si="6">IF(COUNTIFS($J$10:$J$201,48,$K$10:$K$201,$O10)=0,"未测",AVERAGEIFS($C$10:$C$201,$J$10:$J$201,48,$K$10:$K$201,$O10))</f>
        <v>0</v>
      </c>
      <c r="U10" s="14">
        <f t="shared" ref="U10:U41" si="7">IF(COUNTIFS($J$10:$J$201,64,$K$10:$K$201,$O10)=0,"未测",AVERAGEIFS($C$10:$C$201,$J$10:$J$201,64,$K$10:$K$201,$O10))</f>
        <v>0</v>
      </c>
    </row>
    <row r="11" ht="28" customHeight="1" spans="1:21">
      <c r="A11" s="11" t="s">
        <v>34</v>
      </c>
      <c r="B11" s="12">
        <v>0</v>
      </c>
      <c r="C11" s="13">
        <f t="shared" si="0"/>
        <v>0</v>
      </c>
      <c r="D11" s="12">
        <v>0</v>
      </c>
      <c r="E11" s="12">
        <v>100</v>
      </c>
      <c r="F11" s="12">
        <v>0</v>
      </c>
      <c r="G11" s="12">
        <v>0</v>
      </c>
      <c r="H11" s="5" t="s">
        <v>32</v>
      </c>
      <c r="I11" s="5" t="s">
        <v>33</v>
      </c>
      <c r="J11" s="12">
        <v>16</v>
      </c>
      <c r="K11" s="12">
        <v>2</v>
      </c>
      <c r="L11" s="12">
        <v>2</v>
      </c>
      <c r="M11" s="13">
        <f t="shared" si="1"/>
        <v>1</v>
      </c>
      <c r="N11" s="1"/>
      <c r="O11" s="5">
        <v>2</v>
      </c>
      <c r="P11" s="14">
        <f t="shared" si="2"/>
        <v>0</v>
      </c>
      <c r="Q11" s="14">
        <f t="shared" si="3"/>
        <v>0</v>
      </c>
      <c r="R11" s="14">
        <f t="shared" si="4"/>
        <v>0</v>
      </c>
      <c r="S11" s="14">
        <f t="shared" si="5"/>
        <v>0</v>
      </c>
      <c r="T11" s="14">
        <f t="shared" si="6"/>
        <v>0</v>
      </c>
      <c r="U11" s="14">
        <f t="shared" si="7"/>
        <v>0</v>
      </c>
    </row>
    <row r="12" ht="28" customHeight="1" spans="1:21">
      <c r="A12" s="11" t="s">
        <v>35</v>
      </c>
      <c r="B12" s="12">
        <v>0</v>
      </c>
      <c r="C12" s="13">
        <f t="shared" si="0"/>
        <v>0</v>
      </c>
      <c r="D12" s="12">
        <v>0</v>
      </c>
      <c r="E12" s="12">
        <v>100</v>
      </c>
      <c r="F12" s="12">
        <v>0</v>
      </c>
      <c r="G12" s="12">
        <v>0</v>
      </c>
      <c r="H12" s="5" t="s">
        <v>32</v>
      </c>
      <c r="I12" s="5" t="s">
        <v>33</v>
      </c>
      <c r="J12" s="12">
        <v>16</v>
      </c>
      <c r="K12" s="12">
        <v>3</v>
      </c>
      <c r="L12" s="12">
        <v>2</v>
      </c>
      <c r="M12" s="13">
        <f t="shared" si="1"/>
        <v>1</v>
      </c>
      <c r="N12" s="1"/>
      <c r="O12" s="5">
        <v>3</v>
      </c>
      <c r="P12" s="14">
        <f t="shared" si="2"/>
        <v>0</v>
      </c>
      <c r="Q12" s="14">
        <f t="shared" si="3"/>
        <v>0</v>
      </c>
      <c r="R12" s="14">
        <f t="shared" si="4"/>
        <v>0</v>
      </c>
      <c r="S12" s="14">
        <f t="shared" si="5"/>
        <v>0</v>
      </c>
      <c r="T12" s="14">
        <f t="shared" si="6"/>
        <v>0</v>
      </c>
      <c r="U12" s="14">
        <f t="shared" si="7"/>
        <v>0.78</v>
      </c>
    </row>
    <row r="13" ht="28" customHeight="1" spans="1:21">
      <c r="A13" s="11" t="s">
        <v>36</v>
      </c>
      <c r="B13" s="12">
        <v>0</v>
      </c>
      <c r="C13" s="13">
        <f t="shared" si="0"/>
        <v>0</v>
      </c>
      <c r="D13" s="12">
        <v>0</v>
      </c>
      <c r="E13" s="12">
        <v>100</v>
      </c>
      <c r="F13" s="12">
        <v>0</v>
      </c>
      <c r="G13" s="12">
        <v>0</v>
      </c>
      <c r="H13" s="5" t="s">
        <v>32</v>
      </c>
      <c r="I13" s="5" t="s">
        <v>33</v>
      </c>
      <c r="J13" s="12">
        <v>16</v>
      </c>
      <c r="K13" s="12">
        <v>4</v>
      </c>
      <c r="L13" s="12">
        <v>2</v>
      </c>
      <c r="M13" s="13">
        <f t="shared" si="1"/>
        <v>1</v>
      </c>
      <c r="N13" s="1"/>
      <c r="O13" s="5">
        <v>4</v>
      </c>
      <c r="P13" s="14">
        <f t="shared" si="2"/>
        <v>0</v>
      </c>
      <c r="Q13" s="14">
        <f t="shared" si="3"/>
        <v>0</v>
      </c>
      <c r="R13" s="14">
        <f t="shared" si="4"/>
        <v>0</v>
      </c>
      <c r="S13" s="14">
        <f t="shared" si="5"/>
        <v>0</v>
      </c>
      <c r="T13" s="14">
        <f t="shared" si="6"/>
        <v>0.77</v>
      </c>
      <c r="U13" s="14">
        <f t="shared" si="7"/>
        <v>0.85</v>
      </c>
    </row>
    <row r="14" ht="28" customHeight="1" spans="1:21">
      <c r="A14" s="11" t="s">
        <v>37</v>
      </c>
      <c r="B14" s="12">
        <v>0</v>
      </c>
      <c r="C14" s="13">
        <f t="shared" si="0"/>
        <v>0</v>
      </c>
      <c r="D14" s="12">
        <v>0</v>
      </c>
      <c r="E14" s="12">
        <v>100</v>
      </c>
      <c r="F14" s="12">
        <v>0</v>
      </c>
      <c r="G14" s="12">
        <v>0</v>
      </c>
      <c r="H14" s="5" t="s">
        <v>32</v>
      </c>
      <c r="I14" s="5" t="s">
        <v>33</v>
      </c>
      <c r="J14" s="12">
        <v>16</v>
      </c>
      <c r="K14" s="12">
        <v>5</v>
      </c>
      <c r="L14" s="12">
        <v>2</v>
      </c>
      <c r="M14" s="13">
        <f t="shared" si="1"/>
        <v>1</v>
      </c>
      <c r="N14" s="1"/>
      <c r="O14" s="5">
        <v>5</v>
      </c>
      <c r="P14" s="14">
        <f t="shared" si="2"/>
        <v>0</v>
      </c>
      <c r="Q14" s="14">
        <f t="shared" si="3"/>
        <v>0</v>
      </c>
      <c r="R14" s="14">
        <f t="shared" si="4"/>
        <v>0</v>
      </c>
      <c r="S14" s="14">
        <f t="shared" si="5"/>
        <v>0</v>
      </c>
      <c r="T14" s="14">
        <f t="shared" si="6"/>
        <v>0.92</v>
      </c>
      <c r="U14" s="14">
        <f t="shared" si="7"/>
        <v>0.93</v>
      </c>
    </row>
    <row r="15" ht="28" customHeight="1" spans="1:21">
      <c r="A15" s="11" t="s">
        <v>38</v>
      </c>
      <c r="B15" s="12">
        <v>0</v>
      </c>
      <c r="C15" s="13">
        <f t="shared" si="0"/>
        <v>0</v>
      </c>
      <c r="D15" s="12">
        <v>0</v>
      </c>
      <c r="E15" s="12">
        <v>100</v>
      </c>
      <c r="F15" s="12">
        <v>0</v>
      </c>
      <c r="G15" s="12">
        <v>0</v>
      </c>
      <c r="H15" s="5" t="s">
        <v>32</v>
      </c>
      <c r="I15" s="5" t="s">
        <v>33</v>
      </c>
      <c r="J15" s="12">
        <v>16</v>
      </c>
      <c r="K15" s="12">
        <v>6</v>
      </c>
      <c r="L15" s="12">
        <v>2</v>
      </c>
      <c r="M15" s="13">
        <f t="shared" si="1"/>
        <v>1</v>
      </c>
      <c r="N15" s="1"/>
      <c r="O15" s="5">
        <v>6</v>
      </c>
      <c r="P15" s="14">
        <f t="shared" si="2"/>
        <v>0</v>
      </c>
      <c r="Q15" s="14">
        <f t="shared" si="3"/>
        <v>0</v>
      </c>
      <c r="R15" s="14">
        <f t="shared" si="4"/>
        <v>0</v>
      </c>
      <c r="S15" s="14">
        <f t="shared" si="5"/>
        <v>0.83</v>
      </c>
      <c r="T15" s="14">
        <f t="shared" si="6"/>
        <v>0.96</v>
      </c>
      <c r="U15" s="14">
        <f t="shared" si="7"/>
        <v>0.93</v>
      </c>
    </row>
    <row r="16" ht="28" customHeight="1" spans="1:21">
      <c r="A16" s="11" t="s">
        <v>39</v>
      </c>
      <c r="B16" s="12">
        <v>0</v>
      </c>
      <c r="C16" s="13">
        <f t="shared" si="0"/>
        <v>0</v>
      </c>
      <c r="D16" s="12">
        <v>0</v>
      </c>
      <c r="E16" s="12">
        <v>100</v>
      </c>
      <c r="F16" s="12">
        <v>0</v>
      </c>
      <c r="G16" s="12">
        <v>0</v>
      </c>
      <c r="H16" s="5" t="s">
        <v>32</v>
      </c>
      <c r="I16" s="5" t="s">
        <v>33</v>
      </c>
      <c r="J16" s="12">
        <v>16</v>
      </c>
      <c r="K16" s="12">
        <v>7</v>
      </c>
      <c r="L16" s="12">
        <v>2</v>
      </c>
      <c r="M16" s="13">
        <f t="shared" si="1"/>
        <v>1</v>
      </c>
      <c r="N16" s="1"/>
      <c r="O16" s="5">
        <v>7</v>
      </c>
      <c r="P16" s="14">
        <f t="shared" si="2"/>
        <v>0</v>
      </c>
      <c r="Q16" s="14">
        <f t="shared" si="3"/>
        <v>0</v>
      </c>
      <c r="R16" s="14">
        <f t="shared" si="4"/>
        <v>0.69</v>
      </c>
      <c r="S16" s="14">
        <f t="shared" si="5"/>
        <v>0.87</v>
      </c>
      <c r="T16" s="14">
        <f t="shared" si="6"/>
        <v>0.95</v>
      </c>
      <c r="U16" s="14">
        <f t="shared" si="7"/>
        <v>0.97</v>
      </c>
    </row>
    <row r="17" ht="28" customHeight="1" spans="1:21">
      <c r="A17" s="11" t="s">
        <v>40</v>
      </c>
      <c r="B17" s="12">
        <v>0</v>
      </c>
      <c r="C17" s="13">
        <f t="shared" si="0"/>
        <v>0</v>
      </c>
      <c r="D17" s="12">
        <v>0</v>
      </c>
      <c r="E17" s="12">
        <v>100</v>
      </c>
      <c r="F17" s="12">
        <v>0</v>
      </c>
      <c r="G17" s="12">
        <v>0</v>
      </c>
      <c r="H17" s="5" t="s">
        <v>32</v>
      </c>
      <c r="I17" s="5" t="s">
        <v>33</v>
      </c>
      <c r="J17" s="12">
        <v>16</v>
      </c>
      <c r="K17" s="12">
        <v>8</v>
      </c>
      <c r="L17" s="12">
        <v>2</v>
      </c>
      <c r="M17" s="13">
        <f t="shared" si="1"/>
        <v>1</v>
      </c>
      <c r="N17" s="1"/>
      <c r="O17" s="5">
        <v>8</v>
      </c>
      <c r="P17" s="14">
        <f t="shared" si="2"/>
        <v>0</v>
      </c>
      <c r="Q17" s="14">
        <f t="shared" si="3"/>
        <v>0</v>
      </c>
      <c r="R17" s="14">
        <f t="shared" si="4"/>
        <v>0.79</v>
      </c>
      <c r="S17" s="14">
        <f t="shared" si="5"/>
        <v>0.9</v>
      </c>
      <c r="T17" s="14">
        <f t="shared" si="6"/>
        <v>0.96</v>
      </c>
      <c r="U17" s="14">
        <f t="shared" si="7"/>
        <v>0.98</v>
      </c>
    </row>
    <row r="18" ht="28" customHeight="1" spans="1:21">
      <c r="A18" s="11" t="s">
        <v>41</v>
      </c>
      <c r="B18" s="12">
        <v>0</v>
      </c>
      <c r="C18" s="13">
        <f t="shared" si="0"/>
        <v>0</v>
      </c>
      <c r="D18" s="12">
        <v>0</v>
      </c>
      <c r="E18" s="12">
        <v>100</v>
      </c>
      <c r="F18" s="12">
        <v>0</v>
      </c>
      <c r="G18" s="12">
        <v>0</v>
      </c>
      <c r="H18" s="5" t="s">
        <v>32</v>
      </c>
      <c r="I18" s="5" t="s">
        <v>33</v>
      </c>
      <c r="J18" s="12">
        <v>16</v>
      </c>
      <c r="K18" s="12">
        <v>9</v>
      </c>
      <c r="L18" s="12">
        <v>2</v>
      </c>
      <c r="M18" s="13">
        <f t="shared" si="1"/>
        <v>1</v>
      </c>
      <c r="N18" s="1"/>
      <c r="O18" s="5">
        <v>9</v>
      </c>
      <c r="P18" s="14">
        <f t="shared" si="2"/>
        <v>0</v>
      </c>
      <c r="Q18" s="14">
        <f t="shared" si="3"/>
        <v>0</v>
      </c>
      <c r="R18" s="14">
        <f t="shared" si="4"/>
        <v>0.84</v>
      </c>
      <c r="S18" s="14">
        <f t="shared" si="5"/>
        <v>0.96</v>
      </c>
      <c r="T18" s="14">
        <f t="shared" si="6"/>
        <v>0.99</v>
      </c>
      <c r="U18" s="14">
        <f t="shared" si="7"/>
        <v>0.98</v>
      </c>
    </row>
    <row r="19" ht="28" customHeight="1" spans="1:21">
      <c r="A19" s="11" t="s">
        <v>42</v>
      </c>
      <c r="B19" s="12">
        <v>0</v>
      </c>
      <c r="C19" s="13">
        <f t="shared" si="0"/>
        <v>0</v>
      </c>
      <c r="D19" s="12">
        <v>0</v>
      </c>
      <c r="E19" s="12">
        <v>100</v>
      </c>
      <c r="F19" s="12">
        <v>0</v>
      </c>
      <c r="G19" s="12">
        <v>0</v>
      </c>
      <c r="H19" s="5" t="s">
        <v>32</v>
      </c>
      <c r="I19" s="5" t="s">
        <v>33</v>
      </c>
      <c r="J19" s="12">
        <v>16</v>
      </c>
      <c r="K19" s="12">
        <v>10</v>
      </c>
      <c r="L19" s="12">
        <v>2</v>
      </c>
      <c r="M19" s="13">
        <f t="shared" si="1"/>
        <v>1</v>
      </c>
      <c r="N19" s="1"/>
      <c r="O19" s="5">
        <v>10</v>
      </c>
      <c r="P19" s="14">
        <f t="shared" si="2"/>
        <v>0</v>
      </c>
      <c r="Q19" s="14">
        <f t="shared" si="3"/>
        <v>0</v>
      </c>
      <c r="R19" s="14">
        <f t="shared" si="4"/>
        <v>0.86</v>
      </c>
      <c r="S19" s="14">
        <f t="shared" si="5"/>
        <v>0.96</v>
      </c>
      <c r="T19" s="14">
        <f t="shared" si="6"/>
        <v>0.98</v>
      </c>
      <c r="U19" s="14">
        <f t="shared" si="7"/>
        <v>0.99</v>
      </c>
    </row>
    <row r="20" ht="28" customHeight="1" spans="1:21">
      <c r="A20" s="11" t="s">
        <v>43</v>
      </c>
      <c r="B20" s="12">
        <v>0</v>
      </c>
      <c r="C20" s="13">
        <f t="shared" si="0"/>
        <v>0</v>
      </c>
      <c r="D20" s="12">
        <v>0</v>
      </c>
      <c r="E20" s="12">
        <v>100</v>
      </c>
      <c r="F20" s="12">
        <v>0</v>
      </c>
      <c r="G20" s="12">
        <v>0</v>
      </c>
      <c r="H20" s="5" t="s">
        <v>32</v>
      </c>
      <c r="I20" s="5" t="s">
        <v>33</v>
      </c>
      <c r="J20" s="12">
        <v>16</v>
      </c>
      <c r="K20" s="12">
        <v>11</v>
      </c>
      <c r="L20" s="12">
        <v>2</v>
      </c>
      <c r="M20" s="13">
        <f t="shared" si="1"/>
        <v>1</v>
      </c>
      <c r="N20" s="1"/>
      <c r="O20" s="5">
        <v>11</v>
      </c>
      <c r="P20" s="14">
        <f t="shared" si="2"/>
        <v>0</v>
      </c>
      <c r="Q20" s="14">
        <f t="shared" si="3"/>
        <v>0</v>
      </c>
      <c r="R20" s="14">
        <f t="shared" si="4"/>
        <v>0.88</v>
      </c>
      <c r="S20" s="14">
        <f t="shared" si="5"/>
        <v>0.95</v>
      </c>
      <c r="T20" s="14">
        <f t="shared" si="6"/>
        <v>0.98</v>
      </c>
      <c r="U20" s="14">
        <f t="shared" si="7"/>
        <v>0.99</v>
      </c>
    </row>
    <row r="21" ht="28" customHeight="1" spans="1:21">
      <c r="A21" s="11" t="s">
        <v>44</v>
      </c>
      <c r="B21" s="12">
        <v>0</v>
      </c>
      <c r="C21" s="13">
        <f t="shared" si="0"/>
        <v>0</v>
      </c>
      <c r="D21" s="12">
        <v>0</v>
      </c>
      <c r="E21" s="12">
        <v>100</v>
      </c>
      <c r="F21" s="12">
        <v>0</v>
      </c>
      <c r="G21" s="12">
        <v>0</v>
      </c>
      <c r="H21" s="5" t="s">
        <v>32</v>
      </c>
      <c r="I21" s="5" t="s">
        <v>33</v>
      </c>
      <c r="J21" s="12">
        <v>16</v>
      </c>
      <c r="K21" s="12">
        <v>12</v>
      </c>
      <c r="L21" s="12">
        <v>2</v>
      </c>
      <c r="M21" s="13">
        <f t="shared" si="1"/>
        <v>1</v>
      </c>
      <c r="N21" s="1"/>
      <c r="O21" s="5">
        <v>12</v>
      </c>
      <c r="P21" s="14">
        <f t="shared" si="2"/>
        <v>0</v>
      </c>
      <c r="Q21" s="14">
        <f t="shared" si="3"/>
        <v>0.55</v>
      </c>
      <c r="R21" s="14">
        <f t="shared" si="4"/>
        <v>0.89</v>
      </c>
      <c r="S21" s="14">
        <f t="shared" si="5"/>
        <v>0.99</v>
      </c>
      <c r="T21" s="14">
        <f t="shared" si="6"/>
        <v>0.98</v>
      </c>
      <c r="U21" s="14">
        <f t="shared" si="7"/>
        <v>0.99</v>
      </c>
    </row>
    <row r="22" ht="28" customHeight="1" spans="1:21">
      <c r="A22" s="11" t="s">
        <v>45</v>
      </c>
      <c r="B22" s="12">
        <v>0</v>
      </c>
      <c r="C22" s="13">
        <f t="shared" si="0"/>
        <v>0</v>
      </c>
      <c r="D22" s="12">
        <v>0</v>
      </c>
      <c r="E22" s="12">
        <v>100</v>
      </c>
      <c r="F22" s="12">
        <v>0</v>
      </c>
      <c r="G22" s="12">
        <v>0</v>
      </c>
      <c r="H22" s="5" t="s">
        <v>32</v>
      </c>
      <c r="I22" s="5" t="s">
        <v>33</v>
      </c>
      <c r="J22" s="12">
        <v>16</v>
      </c>
      <c r="K22" s="12">
        <v>13</v>
      </c>
      <c r="L22" s="12">
        <v>2</v>
      </c>
      <c r="M22" s="13">
        <f t="shared" si="1"/>
        <v>1</v>
      </c>
      <c r="N22" s="1"/>
      <c r="O22" s="5">
        <v>13</v>
      </c>
      <c r="P22" s="14">
        <f t="shared" si="2"/>
        <v>0</v>
      </c>
      <c r="Q22" s="14">
        <f t="shared" si="3"/>
        <v>0.66</v>
      </c>
      <c r="R22" s="14">
        <f t="shared" si="4"/>
        <v>0.88</v>
      </c>
      <c r="S22" s="14">
        <f t="shared" si="5"/>
        <v>0.97</v>
      </c>
      <c r="T22" s="14">
        <f t="shared" si="6"/>
        <v>0.99</v>
      </c>
      <c r="U22" s="14">
        <f t="shared" si="7"/>
        <v>1</v>
      </c>
    </row>
    <row r="23" ht="28" customHeight="1" spans="1:21">
      <c r="A23" s="11" t="s">
        <v>46</v>
      </c>
      <c r="B23" s="12">
        <v>0</v>
      </c>
      <c r="C23" s="13">
        <f t="shared" si="0"/>
        <v>0</v>
      </c>
      <c r="D23" s="12">
        <v>0</v>
      </c>
      <c r="E23" s="12">
        <v>100</v>
      </c>
      <c r="F23" s="12">
        <v>0</v>
      </c>
      <c r="G23" s="12">
        <v>0</v>
      </c>
      <c r="H23" s="5" t="s">
        <v>32</v>
      </c>
      <c r="I23" s="5" t="s">
        <v>33</v>
      </c>
      <c r="J23" s="12">
        <v>16</v>
      </c>
      <c r="K23" s="12">
        <v>14</v>
      </c>
      <c r="L23" s="12">
        <v>2</v>
      </c>
      <c r="M23" s="13">
        <f t="shared" si="1"/>
        <v>1</v>
      </c>
      <c r="N23" s="1"/>
      <c r="O23" s="5">
        <v>14</v>
      </c>
      <c r="P23" s="14">
        <f t="shared" si="2"/>
        <v>0</v>
      </c>
      <c r="Q23" s="14">
        <f t="shared" si="3"/>
        <v>0.68</v>
      </c>
      <c r="R23" s="14">
        <f t="shared" si="4"/>
        <v>0.9</v>
      </c>
      <c r="S23" s="14">
        <f t="shared" si="5"/>
        <v>0.98</v>
      </c>
      <c r="T23" s="14">
        <f t="shared" si="6"/>
        <v>0.99</v>
      </c>
      <c r="U23" s="14">
        <f t="shared" si="7"/>
        <v>1</v>
      </c>
    </row>
    <row r="24" ht="28" customHeight="1" spans="1:21">
      <c r="A24" s="11" t="s">
        <v>47</v>
      </c>
      <c r="B24" s="12">
        <v>0</v>
      </c>
      <c r="C24" s="13">
        <f t="shared" si="0"/>
        <v>0</v>
      </c>
      <c r="D24" s="12">
        <v>0</v>
      </c>
      <c r="E24" s="12">
        <v>100</v>
      </c>
      <c r="F24" s="12">
        <v>0</v>
      </c>
      <c r="G24" s="12">
        <v>0</v>
      </c>
      <c r="H24" s="5" t="s">
        <v>32</v>
      </c>
      <c r="I24" s="5" t="s">
        <v>33</v>
      </c>
      <c r="J24" s="12">
        <v>16</v>
      </c>
      <c r="K24" s="12">
        <v>15</v>
      </c>
      <c r="L24" s="12">
        <v>2</v>
      </c>
      <c r="M24" s="13">
        <f t="shared" si="1"/>
        <v>1</v>
      </c>
      <c r="N24" s="1"/>
      <c r="O24" s="5">
        <v>15</v>
      </c>
      <c r="P24" s="14">
        <f t="shared" si="2"/>
        <v>0</v>
      </c>
      <c r="Q24" s="14">
        <f t="shared" si="3"/>
        <v>0.77</v>
      </c>
      <c r="R24" s="14">
        <f t="shared" si="4"/>
        <v>0.94</v>
      </c>
      <c r="S24" s="14">
        <f t="shared" si="5"/>
        <v>0.99</v>
      </c>
      <c r="T24" s="14">
        <f t="shared" si="6"/>
        <v>0.99</v>
      </c>
      <c r="U24" s="14">
        <f t="shared" si="7"/>
        <v>0.99</v>
      </c>
    </row>
    <row r="25" ht="28" customHeight="1" spans="1:21">
      <c r="A25" s="11" t="s">
        <v>48</v>
      </c>
      <c r="B25" s="12">
        <v>0</v>
      </c>
      <c r="C25" s="13">
        <f t="shared" si="0"/>
        <v>0</v>
      </c>
      <c r="D25" s="12">
        <v>0</v>
      </c>
      <c r="E25" s="12">
        <v>100</v>
      </c>
      <c r="F25" s="12">
        <v>0</v>
      </c>
      <c r="G25" s="12">
        <v>0</v>
      </c>
      <c r="H25" s="5" t="s">
        <v>32</v>
      </c>
      <c r="I25" s="5" t="s">
        <v>33</v>
      </c>
      <c r="J25" s="12">
        <v>16</v>
      </c>
      <c r="K25" s="12">
        <v>16</v>
      </c>
      <c r="L25" s="12">
        <v>2</v>
      </c>
      <c r="M25" s="13">
        <f t="shared" si="1"/>
        <v>1</v>
      </c>
      <c r="N25" s="1"/>
      <c r="O25" s="5">
        <v>16</v>
      </c>
      <c r="P25" s="14">
        <f t="shared" si="2"/>
        <v>0</v>
      </c>
      <c r="Q25" s="14">
        <f t="shared" si="3"/>
        <v>0.71</v>
      </c>
      <c r="R25" s="14">
        <f t="shared" si="4"/>
        <v>0.91</v>
      </c>
      <c r="S25" s="14">
        <f t="shared" si="5"/>
        <v>0.99</v>
      </c>
      <c r="T25" s="14">
        <f t="shared" si="6"/>
        <v>1</v>
      </c>
      <c r="U25" s="14">
        <f t="shared" si="7"/>
        <v>0.99</v>
      </c>
    </row>
    <row r="26" ht="28" customHeight="1" spans="1:21">
      <c r="A26" s="11" t="s">
        <v>49</v>
      </c>
      <c r="B26" s="12">
        <v>0</v>
      </c>
      <c r="C26" s="13">
        <f t="shared" si="0"/>
        <v>0</v>
      </c>
      <c r="D26" s="12">
        <v>0</v>
      </c>
      <c r="E26" s="12">
        <v>100</v>
      </c>
      <c r="F26" s="12">
        <v>0</v>
      </c>
      <c r="G26" s="12">
        <v>0</v>
      </c>
      <c r="H26" s="5" t="s">
        <v>32</v>
      </c>
      <c r="I26" s="5" t="s">
        <v>33</v>
      </c>
      <c r="J26" s="12">
        <v>16</v>
      </c>
      <c r="K26" s="12">
        <v>17</v>
      </c>
      <c r="L26" s="12">
        <v>2</v>
      </c>
      <c r="M26" s="13">
        <f t="shared" si="1"/>
        <v>1</v>
      </c>
      <c r="N26" s="1"/>
      <c r="O26" s="5">
        <v>17</v>
      </c>
      <c r="P26" s="14">
        <f t="shared" si="2"/>
        <v>0</v>
      </c>
      <c r="Q26" s="14">
        <f t="shared" si="3"/>
        <v>0.77</v>
      </c>
      <c r="R26" s="14">
        <f t="shared" si="4"/>
        <v>0.92</v>
      </c>
      <c r="S26" s="14">
        <f t="shared" si="5"/>
        <v>0.96</v>
      </c>
      <c r="T26" s="14">
        <f t="shared" si="6"/>
        <v>1</v>
      </c>
      <c r="U26" s="14">
        <f t="shared" si="7"/>
        <v>0.99</v>
      </c>
    </row>
    <row r="27" ht="28" customHeight="1" spans="1:21">
      <c r="A27" s="11" t="s">
        <v>50</v>
      </c>
      <c r="B27" s="12">
        <v>0</v>
      </c>
      <c r="C27" s="13">
        <f t="shared" si="0"/>
        <v>0</v>
      </c>
      <c r="D27" s="12">
        <v>0</v>
      </c>
      <c r="E27" s="12">
        <v>100</v>
      </c>
      <c r="F27" s="12">
        <v>0</v>
      </c>
      <c r="G27" s="12">
        <v>0</v>
      </c>
      <c r="H27" s="5" t="s">
        <v>32</v>
      </c>
      <c r="I27" s="5" t="s">
        <v>33</v>
      </c>
      <c r="J27" s="12">
        <v>16</v>
      </c>
      <c r="K27" s="12">
        <v>18</v>
      </c>
      <c r="L27" s="12">
        <v>2</v>
      </c>
      <c r="M27" s="13">
        <f t="shared" si="1"/>
        <v>1</v>
      </c>
      <c r="N27" s="1"/>
      <c r="O27" s="5">
        <v>18</v>
      </c>
      <c r="P27" s="14">
        <f t="shared" si="2"/>
        <v>0</v>
      </c>
      <c r="Q27" s="14">
        <f t="shared" si="3"/>
        <v>0.83</v>
      </c>
      <c r="R27" s="14">
        <f t="shared" si="4"/>
        <v>0.94</v>
      </c>
      <c r="S27" s="14">
        <f t="shared" si="5"/>
        <v>0.99</v>
      </c>
      <c r="T27" s="14">
        <f t="shared" si="6"/>
        <v>0.99</v>
      </c>
      <c r="U27" s="14">
        <f t="shared" si="7"/>
        <v>0.98</v>
      </c>
    </row>
    <row r="28" ht="28" customHeight="1" spans="1:21">
      <c r="A28" s="11" t="s">
        <v>51</v>
      </c>
      <c r="B28" s="12">
        <v>0</v>
      </c>
      <c r="C28" s="13">
        <f t="shared" si="0"/>
        <v>0</v>
      </c>
      <c r="D28" s="12">
        <v>0</v>
      </c>
      <c r="E28" s="12">
        <v>100</v>
      </c>
      <c r="F28" s="12">
        <v>0</v>
      </c>
      <c r="G28" s="12">
        <v>0</v>
      </c>
      <c r="H28" s="5" t="s">
        <v>32</v>
      </c>
      <c r="I28" s="5" t="s">
        <v>33</v>
      </c>
      <c r="J28" s="12">
        <v>16</v>
      </c>
      <c r="K28" s="12">
        <v>19</v>
      </c>
      <c r="L28" s="12">
        <v>2</v>
      </c>
      <c r="M28" s="13">
        <f t="shared" si="1"/>
        <v>1</v>
      </c>
      <c r="N28" s="1"/>
      <c r="O28" s="5">
        <v>19</v>
      </c>
      <c r="P28" s="14">
        <f t="shared" si="2"/>
        <v>0</v>
      </c>
      <c r="Q28" s="14">
        <f t="shared" si="3"/>
        <v>0.77</v>
      </c>
      <c r="R28" s="14">
        <f t="shared" si="4"/>
        <v>0.93</v>
      </c>
      <c r="S28" s="14">
        <f t="shared" si="5"/>
        <v>0.99</v>
      </c>
      <c r="T28" s="14">
        <f t="shared" si="6"/>
        <v>1</v>
      </c>
      <c r="U28" s="14">
        <f t="shared" si="7"/>
        <v>0.99</v>
      </c>
    </row>
    <row r="29" ht="28" customHeight="1" spans="1:21">
      <c r="A29" s="11" t="s">
        <v>52</v>
      </c>
      <c r="B29" s="12">
        <v>0</v>
      </c>
      <c r="C29" s="13">
        <f t="shared" si="0"/>
        <v>0</v>
      </c>
      <c r="D29" s="12">
        <v>0</v>
      </c>
      <c r="E29" s="12">
        <v>100</v>
      </c>
      <c r="F29" s="12">
        <v>0</v>
      </c>
      <c r="G29" s="12">
        <v>0</v>
      </c>
      <c r="H29" s="5" t="s">
        <v>32</v>
      </c>
      <c r="I29" s="5" t="s">
        <v>33</v>
      </c>
      <c r="J29" s="12">
        <v>16</v>
      </c>
      <c r="K29" s="12">
        <v>20</v>
      </c>
      <c r="L29" s="12">
        <v>2</v>
      </c>
      <c r="M29" s="13">
        <f t="shared" si="1"/>
        <v>1</v>
      </c>
      <c r="N29" s="1"/>
      <c r="O29" s="5">
        <v>20</v>
      </c>
      <c r="P29" s="14">
        <f t="shared" si="2"/>
        <v>0</v>
      </c>
      <c r="Q29" s="14">
        <f t="shared" si="3"/>
        <v>0.83</v>
      </c>
      <c r="R29" s="14">
        <f t="shared" si="4"/>
        <v>0.95</v>
      </c>
      <c r="S29" s="14">
        <f t="shared" si="5"/>
        <v>0.99</v>
      </c>
      <c r="T29" s="14">
        <f t="shared" si="6"/>
        <v>1</v>
      </c>
      <c r="U29" s="14">
        <f t="shared" si="7"/>
        <v>0.98</v>
      </c>
    </row>
    <row r="30" ht="28" customHeight="1" spans="1:21">
      <c r="A30" s="11" t="s">
        <v>53</v>
      </c>
      <c r="B30" s="12">
        <v>0</v>
      </c>
      <c r="C30" s="13">
        <f t="shared" si="0"/>
        <v>0</v>
      </c>
      <c r="D30" s="12">
        <v>0</v>
      </c>
      <c r="E30" s="12">
        <v>100</v>
      </c>
      <c r="F30" s="12">
        <v>0</v>
      </c>
      <c r="G30" s="12">
        <v>0</v>
      </c>
      <c r="H30" s="5" t="s">
        <v>32</v>
      </c>
      <c r="I30" s="5" t="s">
        <v>33</v>
      </c>
      <c r="J30" s="12">
        <v>16</v>
      </c>
      <c r="K30" s="12">
        <v>21</v>
      </c>
      <c r="L30" s="12">
        <v>2</v>
      </c>
      <c r="M30" s="13">
        <f t="shared" si="1"/>
        <v>1</v>
      </c>
      <c r="N30" s="1"/>
      <c r="O30" s="5">
        <v>21</v>
      </c>
      <c r="P30" s="14">
        <f t="shared" si="2"/>
        <v>0</v>
      </c>
      <c r="Q30" s="14">
        <f t="shared" si="3"/>
        <v>0.82</v>
      </c>
      <c r="R30" s="14">
        <f t="shared" si="4"/>
        <v>0.92</v>
      </c>
      <c r="S30" s="14">
        <f t="shared" si="5"/>
        <v>1</v>
      </c>
      <c r="T30" s="14">
        <f t="shared" si="6"/>
        <v>1</v>
      </c>
      <c r="U30" s="14">
        <f t="shared" si="7"/>
        <v>0.99</v>
      </c>
    </row>
    <row r="31" ht="28" customHeight="1" spans="1:21">
      <c r="A31" s="11" t="s">
        <v>54</v>
      </c>
      <c r="B31" s="12">
        <v>0</v>
      </c>
      <c r="C31" s="13">
        <f t="shared" si="0"/>
        <v>0</v>
      </c>
      <c r="D31" s="12">
        <v>0</v>
      </c>
      <c r="E31" s="12">
        <v>100</v>
      </c>
      <c r="F31" s="12">
        <v>0</v>
      </c>
      <c r="G31" s="12">
        <v>0</v>
      </c>
      <c r="H31" s="5" t="s">
        <v>32</v>
      </c>
      <c r="I31" s="5" t="s">
        <v>33</v>
      </c>
      <c r="J31" s="12">
        <v>16</v>
      </c>
      <c r="K31" s="12">
        <v>22</v>
      </c>
      <c r="L31" s="12">
        <v>2</v>
      </c>
      <c r="M31" s="13">
        <f t="shared" si="1"/>
        <v>1</v>
      </c>
      <c r="N31" s="1"/>
      <c r="O31" s="5">
        <v>22</v>
      </c>
      <c r="P31" s="14">
        <f t="shared" si="2"/>
        <v>0</v>
      </c>
      <c r="Q31" s="14">
        <f t="shared" si="3"/>
        <v>0.79</v>
      </c>
      <c r="R31" s="14">
        <f t="shared" si="4"/>
        <v>0.94</v>
      </c>
      <c r="S31" s="14">
        <f t="shared" si="5"/>
        <v>0.98</v>
      </c>
      <c r="T31" s="14">
        <f t="shared" si="6"/>
        <v>1</v>
      </c>
      <c r="U31" s="14">
        <f t="shared" si="7"/>
        <v>0.39</v>
      </c>
    </row>
    <row r="32" ht="28" customHeight="1" spans="1:21">
      <c r="A32" s="11" t="s">
        <v>55</v>
      </c>
      <c r="B32" s="12">
        <v>0</v>
      </c>
      <c r="C32" s="13">
        <f t="shared" si="0"/>
        <v>0</v>
      </c>
      <c r="D32" s="12">
        <v>0</v>
      </c>
      <c r="E32" s="12">
        <v>100</v>
      </c>
      <c r="F32" s="12">
        <v>0</v>
      </c>
      <c r="G32" s="12">
        <v>0</v>
      </c>
      <c r="H32" s="5" t="s">
        <v>32</v>
      </c>
      <c r="I32" s="5" t="s">
        <v>33</v>
      </c>
      <c r="J32" s="12">
        <v>16</v>
      </c>
      <c r="K32" s="12">
        <v>23</v>
      </c>
      <c r="L32" s="12">
        <v>2</v>
      </c>
      <c r="M32" s="13">
        <f t="shared" si="1"/>
        <v>1</v>
      </c>
      <c r="N32" s="1"/>
      <c r="O32" s="5">
        <v>23</v>
      </c>
      <c r="P32" s="14">
        <f t="shared" si="2"/>
        <v>0</v>
      </c>
      <c r="Q32" s="14">
        <f t="shared" si="3"/>
        <v>0.82</v>
      </c>
      <c r="R32" s="14">
        <f t="shared" si="4"/>
        <v>0.95</v>
      </c>
      <c r="S32" s="14">
        <f t="shared" si="5"/>
        <v>0.99</v>
      </c>
      <c r="T32" s="14">
        <f t="shared" si="6"/>
        <v>0.99</v>
      </c>
      <c r="U32" s="14">
        <f t="shared" si="7"/>
        <v>1</v>
      </c>
    </row>
    <row r="33" ht="28" customHeight="1" spans="1:21">
      <c r="A33" s="11" t="s">
        <v>56</v>
      </c>
      <c r="B33" s="12">
        <v>0</v>
      </c>
      <c r="C33" s="13">
        <f t="shared" si="0"/>
        <v>0</v>
      </c>
      <c r="D33" s="12">
        <v>0</v>
      </c>
      <c r="E33" s="12">
        <v>100</v>
      </c>
      <c r="F33" s="12">
        <v>0</v>
      </c>
      <c r="G33" s="12">
        <v>0</v>
      </c>
      <c r="H33" s="5" t="s">
        <v>32</v>
      </c>
      <c r="I33" s="5" t="s">
        <v>33</v>
      </c>
      <c r="J33" s="12">
        <v>16</v>
      </c>
      <c r="K33" s="12">
        <v>24</v>
      </c>
      <c r="L33" s="12">
        <v>2</v>
      </c>
      <c r="M33" s="13">
        <f t="shared" si="1"/>
        <v>1</v>
      </c>
      <c r="N33" s="1"/>
      <c r="O33" s="5">
        <v>24</v>
      </c>
      <c r="P33" s="14">
        <f t="shared" si="2"/>
        <v>0</v>
      </c>
      <c r="Q33" s="14">
        <f t="shared" si="3"/>
        <v>0.82</v>
      </c>
      <c r="R33" s="14">
        <f t="shared" si="4"/>
        <v>0.94</v>
      </c>
      <c r="S33" s="14">
        <f t="shared" si="5"/>
        <v>0.98</v>
      </c>
      <c r="T33" s="14">
        <f t="shared" si="6"/>
        <v>1</v>
      </c>
      <c r="U33" s="14">
        <f t="shared" si="7"/>
        <v>0.99</v>
      </c>
    </row>
    <row r="34" ht="28" customHeight="1" spans="1:21">
      <c r="A34" s="11" t="s">
        <v>57</v>
      </c>
      <c r="B34" s="12">
        <v>0</v>
      </c>
      <c r="C34" s="13">
        <f t="shared" si="0"/>
        <v>0</v>
      </c>
      <c r="D34" s="12">
        <v>0</v>
      </c>
      <c r="E34" s="12">
        <v>100</v>
      </c>
      <c r="F34" s="12">
        <v>0</v>
      </c>
      <c r="G34" s="12">
        <v>0</v>
      </c>
      <c r="H34" s="5" t="s">
        <v>32</v>
      </c>
      <c r="I34" s="5" t="s">
        <v>33</v>
      </c>
      <c r="J34" s="12">
        <v>16</v>
      </c>
      <c r="K34" s="12">
        <v>25</v>
      </c>
      <c r="L34" s="12">
        <v>2</v>
      </c>
      <c r="M34" s="13">
        <f t="shared" si="1"/>
        <v>1</v>
      </c>
      <c r="N34" s="1"/>
      <c r="O34" s="5">
        <v>25</v>
      </c>
      <c r="P34" s="14">
        <f t="shared" si="2"/>
        <v>0</v>
      </c>
      <c r="Q34" s="14">
        <f t="shared" si="3"/>
        <v>0.79</v>
      </c>
      <c r="R34" s="14">
        <f t="shared" si="4"/>
        <v>0.94</v>
      </c>
      <c r="S34" s="14">
        <f t="shared" si="5"/>
        <v>0.98</v>
      </c>
      <c r="T34" s="14">
        <f t="shared" si="6"/>
        <v>0.99</v>
      </c>
      <c r="U34" s="14">
        <f t="shared" si="7"/>
        <v>1</v>
      </c>
    </row>
    <row r="35" ht="28" customHeight="1" spans="1:21">
      <c r="A35" s="11" t="s">
        <v>58</v>
      </c>
      <c r="B35" s="12">
        <v>0</v>
      </c>
      <c r="C35" s="13">
        <f t="shared" si="0"/>
        <v>0</v>
      </c>
      <c r="D35" s="12">
        <v>5</v>
      </c>
      <c r="E35" s="12">
        <v>95</v>
      </c>
      <c r="F35" s="12">
        <v>0</v>
      </c>
      <c r="G35" s="12">
        <v>5</v>
      </c>
      <c r="H35" s="5" t="s">
        <v>32</v>
      </c>
      <c r="I35" s="5" t="s">
        <v>59</v>
      </c>
      <c r="J35" s="12">
        <v>16</v>
      </c>
      <c r="K35" s="12">
        <v>26</v>
      </c>
      <c r="L35" s="12">
        <v>2</v>
      </c>
      <c r="M35" s="13">
        <f t="shared" si="1"/>
        <v>1</v>
      </c>
      <c r="N35" s="1"/>
      <c r="O35" s="5">
        <v>26</v>
      </c>
      <c r="P35" s="14">
        <f t="shared" si="2"/>
        <v>0</v>
      </c>
      <c r="Q35" s="14">
        <f t="shared" si="3"/>
        <v>0.84</v>
      </c>
      <c r="R35" s="14">
        <f t="shared" si="4"/>
        <v>0.94</v>
      </c>
      <c r="S35" s="14">
        <f t="shared" si="5"/>
        <v>0.98</v>
      </c>
      <c r="T35" s="14">
        <f t="shared" si="6"/>
        <v>0.99</v>
      </c>
      <c r="U35" s="14">
        <f t="shared" si="7"/>
        <v>0.98</v>
      </c>
    </row>
    <row r="36" ht="28" customHeight="1" spans="1:21">
      <c r="A36" s="11" t="s">
        <v>60</v>
      </c>
      <c r="B36" s="12">
        <v>0</v>
      </c>
      <c r="C36" s="13">
        <f t="shared" si="0"/>
        <v>0</v>
      </c>
      <c r="D36" s="12">
        <v>0</v>
      </c>
      <c r="E36" s="12">
        <v>100</v>
      </c>
      <c r="F36" s="12">
        <v>0</v>
      </c>
      <c r="G36" s="12">
        <v>0</v>
      </c>
      <c r="H36" s="5" t="s">
        <v>32</v>
      </c>
      <c r="I36" s="5" t="s">
        <v>33</v>
      </c>
      <c r="J36" s="12">
        <v>16</v>
      </c>
      <c r="K36" s="12">
        <v>27</v>
      </c>
      <c r="L36" s="12">
        <v>2</v>
      </c>
      <c r="M36" s="13">
        <f t="shared" si="1"/>
        <v>1</v>
      </c>
      <c r="N36" s="1"/>
      <c r="O36" s="5">
        <v>27</v>
      </c>
      <c r="P36" s="14">
        <f t="shared" si="2"/>
        <v>0</v>
      </c>
      <c r="Q36" s="14">
        <f t="shared" si="3"/>
        <v>0.88</v>
      </c>
      <c r="R36" s="14">
        <f t="shared" si="4"/>
        <v>0.95</v>
      </c>
      <c r="S36" s="14">
        <f t="shared" si="5"/>
        <v>1</v>
      </c>
      <c r="T36" s="14">
        <f t="shared" si="6"/>
        <v>1</v>
      </c>
      <c r="U36" s="14">
        <f t="shared" si="7"/>
        <v>1</v>
      </c>
    </row>
    <row r="37" ht="28" customHeight="1" spans="1:21">
      <c r="A37" s="11" t="s">
        <v>61</v>
      </c>
      <c r="B37" s="12">
        <v>0</v>
      </c>
      <c r="C37" s="13">
        <f t="shared" si="0"/>
        <v>0</v>
      </c>
      <c r="D37" s="12">
        <v>0</v>
      </c>
      <c r="E37" s="12">
        <v>100</v>
      </c>
      <c r="F37" s="12">
        <v>0</v>
      </c>
      <c r="G37" s="12">
        <v>0</v>
      </c>
      <c r="H37" s="5" t="s">
        <v>32</v>
      </c>
      <c r="I37" s="5" t="s">
        <v>33</v>
      </c>
      <c r="J37" s="12">
        <v>16</v>
      </c>
      <c r="K37" s="12">
        <v>28</v>
      </c>
      <c r="L37" s="12">
        <v>2</v>
      </c>
      <c r="M37" s="13">
        <f t="shared" si="1"/>
        <v>1</v>
      </c>
      <c r="N37" s="1"/>
      <c r="O37" s="5">
        <v>28</v>
      </c>
      <c r="P37" s="14">
        <f t="shared" si="2"/>
        <v>0</v>
      </c>
      <c r="Q37" s="14">
        <f t="shared" si="3"/>
        <v>0.89</v>
      </c>
      <c r="R37" s="14">
        <f t="shared" si="4"/>
        <v>0.93</v>
      </c>
      <c r="S37" s="14">
        <f t="shared" si="5"/>
        <v>1</v>
      </c>
      <c r="T37" s="14">
        <f t="shared" si="6"/>
        <v>1</v>
      </c>
      <c r="U37" s="14">
        <f t="shared" si="7"/>
        <v>0.99</v>
      </c>
    </row>
    <row r="38" ht="28" customHeight="1" spans="1:21">
      <c r="A38" s="11" t="s">
        <v>62</v>
      </c>
      <c r="B38" s="12">
        <v>0</v>
      </c>
      <c r="C38" s="13">
        <f t="shared" si="0"/>
        <v>0</v>
      </c>
      <c r="D38" s="12">
        <v>0</v>
      </c>
      <c r="E38" s="12">
        <v>100</v>
      </c>
      <c r="F38" s="12">
        <v>0</v>
      </c>
      <c r="G38" s="12">
        <v>0</v>
      </c>
      <c r="H38" s="5" t="s">
        <v>32</v>
      </c>
      <c r="I38" s="5" t="s">
        <v>33</v>
      </c>
      <c r="J38" s="12">
        <v>16</v>
      </c>
      <c r="K38" s="12">
        <v>29</v>
      </c>
      <c r="L38" s="12">
        <v>2</v>
      </c>
      <c r="M38" s="13">
        <f t="shared" si="1"/>
        <v>1</v>
      </c>
      <c r="N38" s="1"/>
      <c r="O38" s="5">
        <v>29</v>
      </c>
      <c r="P38" s="14">
        <f t="shared" si="2"/>
        <v>0</v>
      </c>
      <c r="Q38" s="14">
        <f t="shared" si="3"/>
        <v>0.86</v>
      </c>
      <c r="R38" s="14">
        <f t="shared" si="4"/>
        <v>0.98</v>
      </c>
      <c r="S38" s="14">
        <f t="shared" si="5"/>
        <v>0.99</v>
      </c>
      <c r="T38" s="14">
        <f t="shared" si="6"/>
        <v>1</v>
      </c>
      <c r="U38" s="14">
        <f t="shared" si="7"/>
        <v>0.99</v>
      </c>
    </row>
    <row r="39" ht="28" customHeight="1" spans="1:21">
      <c r="A39" s="11" t="s">
        <v>63</v>
      </c>
      <c r="B39" s="12">
        <v>0</v>
      </c>
      <c r="C39" s="13">
        <f t="shared" si="0"/>
        <v>0</v>
      </c>
      <c r="D39" s="12">
        <v>0</v>
      </c>
      <c r="E39" s="12">
        <v>100</v>
      </c>
      <c r="F39" s="12">
        <v>0</v>
      </c>
      <c r="G39" s="12">
        <v>0</v>
      </c>
      <c r="H39" s="5" t="s">
        <v>32</v>
      </c>
      <c r="I39" s="5" t="s">
        <v>33</v>
      </c>
      <c r="J39" s="12">
        <v>16</v>
      </c>
      <c r="K39" s="12">
        <v>30</v>
      </c>
      <c r="L39" s="12">
        <v>2</v>
      </c>
      <c r="M39" s="13">
        <f t="shared" si="1"/>
        <v>1</v>
      </c>
      <c r="N39" s="1"/>
      <c r="O39" s="5">
        <v>30</v>
      </c>
      <c r="P39" s="14">
        <f t="shared" si="2"/>
        <v>0</v>
      </c>
      <c r="Q39" s="14">
        <f t="shared" si="3"/>
        <v>0.91</v>
      </c>
      <c r="R39" s="14">
        <f t="shared" si="4"/>
        <v>0.94</v>
      </c>
      <c r="S39" s="14">
        <f t="shared" si="5"/>
        <v>1</v>
      </c>
      <c r="T39" s="14">
        <f t="shared" si="6"/>
        <v>1</v>
      </c>
      <c r="U39" s="14">
        <f t="shared" si="7"/>
        <v>0.98</v>
      </c>
    </row>
    <row r="40" ht="28" customHeight="1" spans="1:21">
      <c r="A40" s="11" t="s">
        <v>64</v>
      </c>
      <c r="B40" s="12">
        <v>0</v>
      </c>
      <c r="C40" s="13">
        <f t="shared" si="0"/>
        <v>0</v>
      </c>
      <c r="D40" s="12">
        <v>0</v>
      </c>
      <c r="E40" s="12">
        <v>100</v>
      </c>
      <c r="F40" s="12">
        <v>0</v>
      </c>
      <c r="G40" s="12">
        <v>0</v>
      </c>
      <c r="H40" s="5" t="s">
        <v>32</v>
      </c>
      <c r="I40" s="5" t="s">
        <v>33</v>
      </c>
      <c r="J40" s="12">
        <v>16</v>
      </c>
      <c r="K40" s="12">
        <v>31</v>
      </c>
      <c r="L40" s="12">
        <v>2</v>
      </c>
      <c r="M40" s="13">
        <f t="shared" si="1"/>
        <v>1</v>
      </c>
      <c r="N40" s="1"/>
      <c r="O40" s="5">
        <v>31</v>
      </c>
      <c r="P40" s="14">
        <f t="shared" si="2"/>
        <v>0</v>
      </c>
      <c r="Q40" s="14">
        <f t="shared" si="3"/>
        <v>0.9</v>
      </c>
      <c r="R40" s="14">
        <f t="shared" si="4"/>
        <v>0.95</v>
      </c>
      <c r="S40" s="14">
        <f t="shared" si="5"/>
        <v>0.99</v>
      </c>
      <c r="T40" s="14">
        <f t="shared" si="6"/>
        <v>1</v>
      </c>
      <c r="U40" s="14">
        <f t="shared" si="7"/>
        <v>0.99</v>
      </c>
    </row>
    <row r="41" ht="28" customHeight="1" spans="1:21">
      <c r="A41" s="11" t="s">
        <v>65</v>
      </c>
      <c r="B41" s="12">
        <v>0</v>
      </c>
      <c r="C41" s="13">
        <f t="shared" si="0"/>
        <v>0</v>
      </c>
      <c r="D41" s="12">
        <v>0</v>
      </c>
      <c r="E41" s="12">
        <v>100</v>
      </c>
      <c r="F41" s="12">
        <v>0</v>
      </c>
      <c r="G41" s="12">
        <v>0</v>
      </c>
      <c r="H41" s="5" t="s">
        <v>32</v>
      </c>
      <c r="I41" s="5" t="s">
        <v>33</v>
      </c>
      <c r="J41" s="12">
        <v>16</v>
      </c>
      <c r="K41" s="12">
        <v>32</v>
      </c>
      <c r="L41" s="12">
        <v>2</v>
      </c>
      <c r="M41" s="13">
        <f t="shared" si="1"/>
        <v>1</v>
      </c>
      <c r="N41" s="1"/>
      <c r="O41" s="5">
        <v>32</v>
      </c>
      <c r="P41" s="14">
        <f t="shared" si="2"/>
        <v>0</v>
      </c>
      <c r="Q41" s="14">
        <f t="shared" si="3"/>
        <v>0.9</v>
      </c>
      <c r="R41" s="14">
        <f t="shared" si="4"/>
        <v>0.94</v>
      </c>
      <c r="S41" s="14">
        <f t="shared" si="5"/>
        <v>0.98</v>
      </c>
      <c r="T41" s="14">
        <f t="shared" si="6"/>
        <v>0.99</v>
      </c>
      <c r="U41" s="14">
        <f t="shared" si="7"/>
        <v>0.98</v>
      </c>
    </row>
    <row r="42" ht="28" customHeight="1" spans="1:21">
      <c r="A42" s="11" t="s">
        <v>66</v>
      </c>
      <c r="B42" s="12">
        <v>0</v>
      </c>
      <c r="C42" s="13">
        <f t="shared" si="0"/>
        <v>0</v>
      </c>
      <c r="D42" s="12">
        <v>0</v>
      </c>
      <c r="E42" s="12">
        <v>100</v>
      </c>
      <c r="F42" s="12">
        <v>0</v>
      </c>
      <c r="G42" s="12">
        <v>0</v>
      </c>
      <c r="H42" s="5" t="s">
        <v>32</v>
      </c>
      <c r="I42" s="5" t="s">
        <v>33</v>
      </c>
      <c r="J42" s="12">
        <v>24</v>
      </c>
      <c r="K42" s="12">
        <v>1</v>
      </c>
      <c r="L42" s="12">
        <v>2</v>
      </c>
      <c r="M42" s="13">
        <f t="shared" si="1"/>
        <v>1</v>
      </c>
    </row>
    <row r="43" ht="28" customHeight="1" spans="1:21">
      <c r="A43" s="11" t="s">
        <v>67</v>
      </c>
      <c r="B43" s="12">
        <v>0</v>
      </c>
      <c r="C43" s="13">
        <f t="shared" si="0"/>
        <v>0</v>
      </c>
      <c r="D43" s="12">
        <v>0</v>
      </c>
      <c r="E43" s="12">
        <v>100</v>
      </c>
      <c r="F43" s="12">
        <v>0</v>
      </c>
      <c r="G43" s="12">
        <v>0</v>
      </c>
      <c r="H43" s="5" t="s">
        <v>32</v>
      </c>
      <c r="I43" s="5" t="s">
        <v>33</v>
      </c>
      <c r="J43" s="12">
        <v>24</v>
      </c>
      <c r="K43" s="12">
        <v>2</v>
      </c>
      <c r="L43" s="12">
        <v>2</v>
      </c>
      <c r="M43" s="13">
        <f t="shared" si="1"/>
        <v>1</v>
      </c>
    </row>
    <row r="44" ht="28" customHeight="1" spans="1:21">
      <c r="A44" s="11" t="s">
        <v>68</v>
      </c>
      <c r="B44" s="12">
        <v>0</v>
      </c>
      <c r="C44" s="13">
        <f t="shared" si="0"/>
        <v>0</v>
      </c>
      <c r="D44" s="12">
        <v>0</v>
      </c>
      <c r="E44" s="12">
        <v>100</v>
      </c>
      <c r="F44" s="12">
        <v>0</v>
      </c>
      <c r="G44" s="12">
        <v>0</v>
      </c>
      <c r="H44" s="5" t="s">
        <v>32</v>
      </c>
      <c r="I44" s="5" t="s">
        <v>33</v>
      </c>
      <c r="J44" s="12">
        <v>24</v>
      </c>
      <c r="K44" s="12">
        <v>3</v>
      </c>
      <c r="L44" s="12">
        <v>2</v>
      </c>
      <c r="M44" s="13">
        <f t="shared" si="1"/>
        <v>1</v>
      </c>
    </row>
    <row r="45" ht="28" customHeight="1" spans="1:21">
      <c r="A45" s="11" t="s">
        <v>69</v>
      </c>
      <c r="B45" s="12">
        <v>0</v>
      </c>
      <c r="C45" s="13">
        <f t="shared" si="0"/>
        <v>0</v>
      </c>
      <c r="D45" s="12">
        <v>0</v>
      </c>
      <c r="E45" s="12">
        <v>100</v>
      </c>
      <c r="F45" s="12">
        <v>0</v>
      </c>
      <c r="G45" s="12">
        <v>0</v>
      </c>
      <c r="H45" s="5" t="s">
        <v>32</v>
      </c>
      <c r="I45" s="5" t="s">
        <v>33</v>
      </c>
      <c r="J45" s="12">
        <v>24</v>
      </c>
      <c r="K45" s="12">
        <v>4</v>
      </c>
      <c r="L45" s="12">
        <v>2</v>
      </c>
      <c r="M45" s="13">
        <f t="shared" si="1"/>
        <v>1</v>
      </c>
    </row>
    <row r="46" ht="28" customHeight="1" spans="1:21">
      <c r="A46" s="11" t="s">
        <v>70</v>
      </c>
      <c r="B46" s="12">
        <v>0</v>
      </c>
      <c r="C46" s="13">
        <f t="shared" si="0"/>
        <v>0</v>
      </c>
      <c r="D46" s="12">
        <v>0</v>
      </c>
      <c r="E46" s="12">
        <v>100</v>
      </c>
      <c r="F46" s="12">
        <v>0</v>
      </c>
      <c r="G46" s="12">
        <v>0</v>
      </c>
      <c r="H46" s="5" t="s">
        <v>32</v>
      </c>
      <c r="I46" s="5" t="s">
        <v>33</v>
      </c>
      <c r="J46" s="12">
        <v>24</v>
      </c>
      <c r="K46" s="12">
        <v>5</v>
      </c>
      <c r="L46" s="12">
        <v>2</v>
      </c>
      <c r="M46" s="13">
        <f t="shared" si="1"/>
        <v>1</v>
      </c>
    </row>
    <row r="47" ht="28" customHeight="1" spans="1:21">
      <c r="A47" s="11" t="s">
        <v>71</v>
      </c>
      <c r="B47" s="12">
        <v>0</v>
      </c>
      <c r="C47" s="13">
        <f t="shared" si="0"/>
        <v>0</v>
      </c>
      <c r="D47" s="12">
        <v>0</v>
      </c>
      <c r="E47" s="12">
        <v>100</v>
      </c>
      <c r="F47" s="12">
        <v>0</v>
      </c>
      <c r="G47" s="12">
        <v>0</v>
      </c>
      <c r="H47" s="5" t="s">
        <v>32</v>
      </c>
      <c r="I47" s="5" t="s">
        <v>33</v>
      </c>
      <c r="J47" s="12">
        <v>24</v>
      </c>
      <c r="K47" s="12">
        <v>6</v>
      </c>
      <c r="L47" s="12">
        <v>2</v>
      </c>
      <c r="M47" s="13">
        <f t="shared" si="1"/>
        <v>1</v>
      </c>
    </row>
    <row r="48" ht="28" customHeight="1" spans="1:21">
      <c r="A48" s="11" t="s">
        <v>72</v>
      </c>
      <c r="B48" s="12">
        <v>0</v>
      </c>
      <c r="C48" s="13">
        <f t="shared" si="0"/>
        <v>0</v>
      </c>
      <c r="D48" s="12">
        <v>0</v>
      </c>
      <c r="E48" s="12">
        <v>100</v>
      </c>
      <c r="F48" s="12">
        <v>0</v>
      </c>
      <c r="G48" s="12">
        <v>0</v>
      </c>
      <c r="H48" s="5" t="s">
        <v>32</v>
      </c>
      <c r="I48" s="5" t="s">
        <v>33</v>
      </c>
      <c r="J48" s="12">
        <v>24</v>
      </c>
      <c r="K48" s="12">
        <v>7</v>
      </c>
      <c r="L48" s="12">
        <v>2</v>
      </c>
      <c r="M48" s="13">
        <f t="shared" si="1"/>
        <v>1</v>
      </c>
    </row>
    <row r="49" ht="28" customHeight="1" spans="1:13">
      <c r="A49" s="11" t="s">
        <v>73</v>
      </c>
      <c r="B49" s="12">
        <v>0</v>
      </c>
      <c r="C49" s="13">
        <f t="shared" si="0"/>
        <v>0</v>
      </c>
      <c r="D49" s="12">
        <v>0</v>
      </c>
      <c r="E49" s="12">
        <v>100</v>
      </c>
      <c r="F49" s="12">
        <v>0</v>
      </c>
      <c r="G49" s="12">
        <v>0</v>
      </c>
      <c r="H49" s="5" t="s">
        <v>32</v>
      </c>
      <c r="I49" s="5" t="s">
        <v>33</v>
      </c>
      <c r="J49" s="12">
        <v>24</v>
      </c>
      <c r="K49" s="12">
        <v>8</v>
      </c>
      <c r="L49" s="12">
        <v>2</v>
      </c>
      <c r="M49" s="13">
        <f t="shared" si="1"/>
        <v>1</v>
      </c>
    </row>
    <row r="50" ht="28" customHeight="1" spans="1:13">
      <c r="A50" s="11" t="s">
        <v>74</v>
      </c>
      <c r="B50" s="12">
        <v>0</v>
      </c>
      <c r="C50" s="13">
        <f t="shared" si="0"/>
        <v>0</v>
      </c>
      <c r="D50" s="12">
        <v>0</v>
      </c>
      <c r="E50" s="12">
        <v>100</v>
      </c>
      <c r="F50" s="12">
        <v>0</v>
      </c>
      <c r="G50" s="12">
        <v>0</v>
      </c>
      <c r="H50" s="5" t="s">
        <v>32</v>
      </c>
      <c r="I50" s="5" t="s">
        <v>33</v>
      </c>
      <c r="J50" s="12">
        <v>24</v>
      </c>
      <c r="K50" s="12">
        <v>9</v>
      </c>
      <c r="L50" s="12">
        <v>2</v>
      </c>
      <c r="M50" s="13">
        <f t="shared" si="1"/>
        <v>1</v>
      </c>
    </row>
    <row r="51" ht="28" customHeight="1" spans="1:13">
      <c r="A51" s="11" t="s">
        <v>75</v>
      </c>
      <c r="B51" s="12">
        <v>0</v>
      </c>
      <c r="C51" s="13">
        <f t="shared" si="0"/>
        <v>0</v>
      </c>
      <c r="D51" s="12">
        <v>0</v>
      </c>
      <c r="E51" s="12">
        <v>100</v>
      </c>
      <c r="F51" s="12">
        <v>0</v>
      </c>
      <c r="G51" s="12">
        <v>0</v>
      </c>
      <c r="H51" s="5" t="s">
        <v>32</v>
      </c>
      <c r="I51" s="5" t="s">
        <v>33</v>
      </c>
      <c r="J51" s="12">
        <v>24</v>
      </c>
      <c r="K51" s="12">
        <v>10</v>
      </c>
      <c r="L51" s="12">
        <v>2</v>
      </c>
      <c r="M51" s="13">
        <f t="shared" si="1"/>
        <v>1</v>
      </c>
    </row>
    <row r="52" ht="28" customHeight="1" spans="1:13">
      <c r="A52" s="11" t="s">
        <v>76</v>
      </c>
      <c r="B52" s="12">
        <v>0</v>
      </c>
      <c r="C52" s="13">
        <f t="shared" si="0"/>
        <v>0</v>
      </c>
      <c r="D52" s="12">
        <v>0</v>
      </c>
      <c r="E52" s="12">
        <v>100</v>
      </c>
      <c r="F52" s="12">
        <v>0</v>
      </c>
      <c r="G52" s="12">
        <v>0</v>
      </c>
      <c r="H52" s="5" t="s">
        <v>32</v>
      </c>
      <c r="I52" s="5" t="s">
        <v>33</v>
      </c>
      <c r="J52" s="12">
        <v>24</v>
      </c>
      <c r="K52" s="12">
        <v>11</v>
      </c>
      <c r="L52" s="12">
        <v>2</v>
      </c>
      <c r="M52" s="13">
        <f t="shared" si="1"/>
        <v>1</v>
      </c>
    </row>
    <row r="53" ht="28" customHeight="1" spans="1:13">
      <c r="A53" s="11" t="s">
        <v>77</v>
      </c>
      <c r="B53" s="12">
        <v>55</v>
      </c>
      <c r="C53" s="13">
        <f t="shared" si="0"/>
        <v>0.55</v>
      </c>
      <c r="D53" s="12">
        <v>34</v>
      </c>
      <c r="E53" s="12">
        <v>11</v>
      </c>
      <c r="F53" s="12">
        <v>2</v>
      </c>
      <c r="G53" s="12">
        <v>23</v>
      </c>
      <c r="H53" s="5" t="s">
        <v>32</v>
      </c>
      <c r="I53" s="5" t="s">
        <v>59</v>
      </c>
      <c r="J53" s="12">
        <v>24</v>
      </c>
      <c r="K53" s="12">
        <v>12</v>
      </c>
      <c r="L53" s="12">
        <v>2</v>
      </c>
      <c r="M53" s="13">
        <f t="shared" si="1"/>
        <v>0.47</v>
      </c>
    </row>
    <row r="54" ht="28" customHeight="1" spans="1:13">
      <c r="A54" s="11" t="s">
        <v>78</v>
      </c>
      <c r="B54" s="12">
        <v>66</v>
      </c>
      <c r="C54" s="13">
        <f t="shared" si="0"/>
        <v>0.66</v>
      </c>
      <c r="D54" s="12">
        <v>25</v>
      </c>
      <c r="E54" s="12">
        <v>9</v>
      </c>
      <c r="F54" s="12">
        <v>11</v>
      </c>
      <c r="G54" s="12">
        <v>27</v>
      </c>
      <c r="H54" s="5" t="s">
        <v>32</v>
      </c>
      <c r="I54" s="5" t="s">
        <v>59</v>
      </c>
      <c r="J54" s="12">
        <v>24</v>
      </c>
      <c r="K54" s="12">
        <v>13</v>
      </c>
      <c r="L54" s="12">
        <v>2</v>
      </c>
      <c r="M54" s="13">
        <f t="shared" si="1"/>
        <v>0.45</v>
      </c>
    </row>
    <row r="55" ht="28" customHeight="1" spans="1:13">
      <c r="A55" s="11" t="s">
        <v>79</v>
      </c>
      <c r="B55" s="12">
        <v>68</v>
      </c>
      <c r="C55" s="13">
        <f t="shared" si="0"/>
        <v>0.68</v>
      </c>
      <c r="D55" s="12">
        <v>24</v>
      </c>
      <c r="E55" s="12">
        <v>8</v>
      </c>
      <c r="F55" s="12">
        <v>7</v>
      </c>
      <c r="G55" s="12">
        <v>0</v>
      </c>
      <c r="H55" s="5" t="s">
        <v>32</v>
      </c>
      <c r="I55" s="5" t="s">
        <v>59</v>
      </c>
      <c r="J55" s="12">
        <v>24</v>
      </c>
      <c r="K55" s="12">
        <v>14</v>
      </c>
      <c r="L55" s="12">
        <v>2</v>
      </c>
      <c r="M55" s="13">
        <f t="shared" si="1"/>
        <v>0.39</v>
      </c>
    </row>
    <row r="56" ht="28" customHeight="1" spans="1:13">
      <c r="A56" s="11" t="s">
        <v>80</v>
      </c>
      <c r="B56" s="12">
        <v>77</v>
      </c>
      <c r="C56" s="13">
        <f t="shared" si="0"/>
        <v>0.77</v>
      </c>
      <c r="D56" s="12">
        <v>19</v>
      </c>
      <c r="E56" s="12">
        <v>4</v>
      </c>
      <c r="F56" s="12">
        <v>0</v>
      </c>
      <c r="G56" s="12">
        <v>4</v>
      </c>
      <c r="H56" s="5" t="s">
        <v>32</v>
      </c>
      <c r="I56" s="5" t="s">
        <v>59</v>
      </c>
      <c r="J56" s="12">
        <v>24</v>
      </c>
      <c r="K56" s="12">
        <v>15</v>
      </c>
      <c r="L56" s="12">
        <v>2</v>
      </c>
      <c r="M56" s="13">
        <f t="shared" si="1"/>
        <v>0.23</v>
      </c>
    </row>
    <row r="57" ht="28" customHeight="1" spans="1:13">
      <c r="A57" s="11" t="s">
        <v>81</v>
      </c>
      <c r="B57" s="12">
        <v>71</v>
      </c>
      <c r="C57" s="13">
        <f t="shared" si="0"/>
        <v>0.71</v>
      </c>
      <c r="D57" s="12">
        <v>22</v>
      </c>
      <c r="E57" s="12">
        <v>7</v>
      </c>
      <c r="F57" s="12">
        <v>1</v>
      </c>
      <c r="G57" s="12">
        <v>8</v>
      </c>
      <c r="H57" s="5" t="s">
        <v>32</v>
      </c>
      <c r="I57" s="5" t="s">
        <v>59</v>
      </c>
      <c r="J57" s="12">
        <v>24</v>
      </c>
      <c r="K57" s="12">
        <v>16</v>
      </c>
      <c r="L57" s="12">
        <v>2</v>
      </c>
      <c r="M57" s="13">
        <f t="shared" si="1"/>
        <v>0.3</v>
      </c>
    </row>
    <row r="58" ht="28" customHeight="1" spans="1:13">
      <c r="A58" s="11" t="s">
        <v>82</v>
      </c>
      <c r="B58" s="12">
        <v>77</v>
      </c>
      <c r="C58" s="13">
        <f t="shared" si="0"/>
        <v>0.77</v>
      </c>
      <c r="D58" s="12">
        <v>16</v>
      </c>
      <c r="E58" s="12">
        <v>7</v>
      </c>
      <c r="F58" s="12">
        <v>4</v>
      </c>
      <c r="G58" s="12">
        <v>6</v>
      </c>
      <c r="H58" s="5" t="s">
        <v>32</v>
      </c>
      <c r="I58" s="5" t="s">
        <v>59</v>
      </c>
      <c r="J58" s="12">
        <v>24</v>
      </c>
      <c r="K58" s="12">
        <v>17</v>
      </c>
      <c r="L58" s="12">
        <v>2</v>
      </c>
      <c r="M58" s="13">
        <f t="shared" si="1"/>
        <v>0.27</v>
      </c>
    </row>
    <row r="59" ht="28" customHeight="1" spans="1:13">
      <c r="A59" s="11" t="s">
        <v>83</v>
      </c>
      <c r="B59" s="12">
        <v>83</v>
      </c>
      <c r="C59" s="13">
        <f t="shared" si="0"/>
        <v>0.83</v>
      </c>
      <c r="D59" s="12">
        <v>14</v>
      </c>
      <c r="E59" s="12">
        <v>3</v>
      </c>
      <c r="F59" s="12">
        <v>3</v>
      </c>
      <c r="G59" s="12">
        <v>0</v>
      </c>
      <c r="H59" s="5" t="s">
        <v>32</v>
      </c>
      <c r="I59" s="5" t="s">
        <v>59</v>
      </c>
      <c r="J59" s="12">
        <v>24</v>
      </c>
      <c r="K59" s="12">
        <v>18</v>
      </c>
      <c r="L59" s="12">
        <v>2</v>
      </c>
      <c r="M59" s="13">
        <f t="shared" si="1"/>
        <v>0.2</v>
      </c>
    </row>
    <row r="60" ht="28" customHeight="1" spans="1:13">
      <c r="A60" s="11" t="s">
        <v>84</v>
      </c>
      <c r="B60" s="12">
        <v>77</v>
      </c>
      <c r="C60" s="13">
        <f t="shared" si="0"/>
        <v>0.77</v>
      </c>
      <c r="D60" s="12">
        <v>17</v>
      </c>
      <c r="E60" s="12">
        <v>6</v>
      </c>
      <c r="F60" s="12">
        <v>6</v>
      </c>
      <c r="G60" s="12">
        <v>10</v>
      </c>
      <c r="H60" s="5" t="s">
        <v>32</v>
      </c>
      <c r="I60" s="5" t="s">
        <v>59</v>
      </c>
      <c r="J60" s="12">
        <v>24</v>
      </c>
      <c r="K60" s="12">
        <v>19</v>
      </c>
      <c r="L60" s="12">
        <v>2</v>
      </c>
      <c r="M60" s="13">
        <f t="shared" si="1"/>
        <v>0.29</v>
      </c>
    </row>
    <row r="61" ht="28" customHeight="1" spans="1:13">
      <c r="A61" s="11" t="s">
        <v>85</v>
      </c>
      <c r="B61" s="12">
        <v>83</v>
      </c>
      <c r="C61" s="13">
        <f t="shared" si="0"/>
        <v>0.83</v>
      </c>
      <c r="D61" s="12">
        <v>14</v>
      </c>
      <c r="E61" s="12">
        <v>3</v>
      </c>
      <c r="F61" s="12">
        <v>2</v>
      </c>
      <c r="G61" s="12">
        <v>0</v>
      </c>
      <c r="H61" s="5" t="s">
        <v>32</v>
      </c>
      <c r="I61" s="5" t="s">
        <v>59</v>
      </c>
      <c r="J61" s="12">
        <v>24</v>
      </c>
      <c r="K61" s="12">
        <v>20</v>
      </c>
      <c r="L61" s="12">
        <v>2</v>
      </c>
      <c r="M61" s="13">
        <f t="shared" si="1"/>
        <v>0.19</v>
      </c>
    </row>
    <row r="62" ht="28" customHeight="1" spans="1:13">
      <c r="A62" s="11" t="s">
        <v>86</v>
      </c>
      <c r="B62" s="12">
        <v>82</v>
      </c>
      <c r="C62" s="13">
        <f t="shared" si="0"/>
        <v>0.82</v>
      </c>
      <c r="D62" s="12">
        <v>13</v>
      </c>
      <c r="E62" s="12">
        <v>5</v>
      </c>
      <c r="F62" s="12">
        <v>4</v>
      </c>
      <c r="G62" s="12">
        <v>3</v>
      </c>
      <c r="H62" s="5" t="s">
        <v>32</v>
      </c>
      <c r="I62" s="5" t="s">
        <v>59</v>
      </c>
      <c r="J62" s="12">
        <v>24</v>
      </c>
      <c r="K62" s="12">
        <v>21</v>
      </c>
      <c r="L62" s="12">
        <v>2</v>
      </c>
      <c r="M62" s="13">
        <f t="shared" si="1"/>
        <v>0.22</v>
      </c>
    </row>
    <row r="63" ht="28" customHeight="1" spans="1:13">
      <c r="A63" s="11" t="s">
        <v>87</v>
      </c>
      <c r="B63" s="12">
        <v>79</v>
      </c>
      <c r="C63" s="13">
        <f t="shared" si="0"/>
        <v>0.79</v>
      </c>
      <c r="D63" s="12">
        <v>17</v>
      </c>
      <c r="E63" s="12">
        <v>4</v>
      </c>
      <c r="F63" s="12">
        <v>6</v>
      </c>
      <c r="G63" s="12">
        <v>14</v>
      </c>
      <c r="H63" s="5" t="s">
        <v>32</v>
      </c>
      <c r="I63" s="5" t="s">
        <v>59</v>
      </c>
      <c r="J63" s="12">
        <v>24</v>
      </c>
      <c r="K63" s="12">
        <v>22</v>
      </c>
      <c r="L63" s="12">
        <v>2</v>
      </c>
      <c r="M63" s="13">
        <f t="shared" si="1"/>
        <v>0.27</v>
      </c>
    </row>
    <row r="64" ht="28" customHeight="1" spans="1:13">
      <c r="A64" s="11" t="s">
        <v>88</v>
      </c>
      <c r="B64" s="12">
        <v>82</v>
      </c>
      <c r="C64" s="13">
        <f t="shared" si="0"/>
        <v>0.82</v>
      </c>
      <c r="D64" s="12">
        <v>11</v>
      </c>
      <c r="E64" s="12">
        <v>7</v>
      </c>
      <c r="F64" s="12">
        <v>4</v>
      </c>
      <c r="G64" s="12">
        <v>0</v>
      </c>
      <c r="H64" s="5" t="s">
        <v>32</v>
      </c>
      <c r="I64" s="5" t="s">
        <v>59</v>
      </c>
      <c r="J64" s="12">
        <v>24</v>
      </c>
      <c r="K64" s="12">
        <v>23</v>
      </c>
      <c r="L64" s="12">
        <v>2</v>
      </c>
      <c r="M64" s="13">
        <f t="shared" si="1"/>
        <v>0.22</v>
      </c>
    </row>
    <row r="65" ht="28" customHeight="1" spans="1:13">
      <c r="A65" s="11" t="s">
        <v>89</v>
      </c>
      <c r="B65" s="12">
        <v>82</v>
      </c>
      <c r="C65" s="13">
        <f t="shared" si="0"/>
        <v>0.82</v>
      </c>
      <c r="D65" s="12">
        <v>12</v>
      </c>
      <c r="E65" s="12">
        <v>6</v>
      </c>
      <c r="F65" s="12">
        <v>4</v>
      </c>
      <c r="G65" s="12">
        <v>0</v>
      </c>
      <c r="H65" s="5" t="s">
        <v>32</v>
      </c>
      <c r="I65" s="5" t="s">
        <v>59</v>
      </c>
      <c r="J65" s="12">
        <v>24</v>
      </c>
      <c r="K65" s="12">
        <v>24</v>
      </c>
      <c r="L65" s="12">
        <v>2</v>
      </c>
      <c r="M65" s="13">
        <f t="shared" si="1"/>
        <v>0.22</v>
      </c>
    </row>
    <row r="66" ht="28" customHeight="1" spans="1:13">
      <c r="A66" s="11" t="s">
        <v>90</v>
      </c>
      <c r="B66" s="12">
        <v>79</v>
      </c>
      <c r="C66" s="13">
        <f t="shared" si="0"/>
        <v>0.79</v>
      </c>
      <c r="D66" s="12">
        <v>15</v>
      </c>
      <c r="E66" s="12">
        <v>6</v>
      </c>
      <c r="F66" s="12">
        <v>6</v>
      </c>
      <c r="G66" s="12">
        <v>0</v>
      </c>
      <c r="H66" s="5" t="s">
        <v>32</v>
      </c>
      <c r="I66" s="5" t="s">
        <v>59</v>
      </c>
      <c r="J66" s="12">
        <v>24</v>
      </c>
      <c r="K66" s="12">
        <v>25</v>
      </c>
      <c r="L66" s="12">
        <v>2</v>
      </c>
      <c r="M66" s="13">
        <f t="shared" si="1"/>
        <v>0.27</v>
      </c>
    </row>
    <row r="67" ht="28" customHeight="1" spans="1:13">
      <c r="A67" s="11" t="s">
        <v>91</v>
      </c>
      <c r="B67" s="12">
        <v>84</v>
      </c>
      <c r="C67" s="13">
        <f t="shared" si="0"/>
        <v>0.84</v>
      </c>
      <c r="D67" s="12">
        <v>10</v>
      </c>
      <c r="E67" s="12">
        <v>6</v>
      </c>
      <c r="F67" s="12">
        <v>1</v>
      </c>
      <c r="G67" s="12">
        <v>0</v>
      </c>
      <c r="H67" s="5" t="s">
        <v>32</v>
      </c>
      <c r="I67" s="5" t="s">
        <v>59</v>
      </c>
      <c r="J67" s="12">
        <v>24</v>
      </c>
      <c r="K67" s="12">
        <v>26</v>
      </c>
      <c r="L67" s="12">
        <v>2</v>
      </c>
      <c r="M67" s="13">
        <f t="shared" si="1"/>
        <v>0.17</v>
      </c>
    </row>
    <row r="68" ht="28" customHeight="1" spans="1:13">
      <c r="A68" s="11" t="s">
        <v>92</v>
      </c>
      <c r="B68" s="12">
        <v>88</v>
      </c>
      <c r="C68" s="13">
        <f t="shared" si="0"/>
        <v>0.88</v>
      </c>
      <c r="D68" s="12">
        <v>8</v>
      </c>
      <c r="E68" s="12">
        <v>4</v>
      </c>
      <c r="F68" s="12">
        <v>3</v>
      </c>
      <c r="G68" s="12">
        <v>0</v>
      </c>
      <c r="H68" s="5" t="s">
        <v>32</v>
      </c>
      <c r="I68" s="5" t="s">
        <v>59</v>
      </c>
      <c r="J68" s="12">
        <v>24</v>
      </c>
      <c r="K68" s="12">
        <v>27</v>
      </c>
      <c r="L68" s="12">
        <v>2</v>
      </c>
      <c r="M68" s="13">
        <f t="shared" si="1"/>
        <v>0.15</v>
      </c>
    </row>
    <row r="69" ht="28" customHeight="1" spans="1:13">
      <c r="A69" s="11" t="s">
        <v>93</v>
      </c>
      <c r="B69" s="12">
        <v>89</v>
      </c>
      <c r="C69" s="13">
        <f t="shared" si="0"/>
        <v>0.89</v>
      </c>
      <c r="D69" s="12">
        <v>8</v>
      </c>
      <c r="E69" s="12">
        <v>3</v>
      </c>
      <c r="F69" s="12">
        <v>3</v>
      </c>
      <c r="G69" s="12">
        <v>0</v>
      </c>
      <c r="H69" s="5" t="s">
        <v>32</v>
      </c>
      <c r="I69" s="5" t="s">
        <v>59</v>
      </c>
      <c r="J69" s="12">
        <v>24</v>
      </c>
      <c r="K69" s="12">
        <v>28</v>
      </c>
      <c r="L69" s="12">
        <v>2</v>
      </c>
      <c r="M69" s="13">
        <f t="shared" si="1"/>
        <v>0.14</v>
      </c>
    </row>
    <row r="70" ht="28" customHeight="1" spans="1:13">
      <c r="A70" s="11" t="s">
        <v>94</v>
      </c>
      <c r="B70" s="12">
        <v>86</v>
      </c>
      <c r="C70" s="13">
        <f t="shared" si="0"/>
        <v>0.86</v>
      </c>
      <c r="D70" s="12">
        <v>11</v>
      </c>
      <c r="E70" s="12">
        <v>3</v>
      </c>
      <c r="F70" s="12">
        <v>4</v>
      </c>
      <c r="G70" s="12">
        <v>2</v>
      </c>
      <c r="H70" s="5" t="s">
        <v>32</v>
      </c>
      <c r="I70" s="5" t="s">
        <v>59</v>
      </c>
      <c r="J70" s="12">
        <v>24</v>
      </c>
      <c r="K70" s="12">
        <v>29</v>
      </c>
      <c r="L70" s="12">
        <v>2</v>
      </c>
      <c r="M70" s="13">
        <f t="shared" si="1"/>
        <v>0.18</v>
      </c>
    </row>
    <row r="71" ht="28" customHeight="1" spans="1:13">
      <c r="A71" s="11" t="s">
        <v>95</v>
      </c>
      <c r="B71" s="12">
        <v>91</v>
      </c>
      <c r="C71" s="13">
        <f t="shared" si="0"/>
        <v>0.91</v>
      </c>
      <c r="D71" s="12">
        <v>6</v>
      </c>
      <c r="E71" s="12">
        <v>3</v>
      </c>
      <c r="F71" s="12">
        <v>2</v>
      </c>
      <c r="G71" s="12">
        <v>0</v>
      </c>
      <c r="H71" s="5" t="s">
        <v>32</v>
      </c>
      <c r="I71" s="5" t="s">
        <v>59</v>
      </c>
      <c r="J71" s="12">
        <v>24</v>
      </c>
      <c r="K71" s="12">
        <v>30</v>
      </c>
      <c r="L71" s="12">
        <v>2</v>
      </c>
      <c r="M71" s="13">
        <f t="shared" si="1"/>
        <v>0.11</v>
      </c>
    </row>
    <row r="72" ht="28" customHeight="1" spans="1:13">
      <c r="A72" s="11" t="s">
        <v>96</v>
      </c>
      <c r="B72" s="12">
        <v>90</v>
      </c>
      <c r="C72" s="13">
        <f t="shared" si="0"/>
        <v>0.9</v>
      </c>
      <c r="D72" s="12">
        <v>9</v>
      </c>
      <c r="E72" s="12">
        <v>1</v>
      </c>
      <c r="F72" s="12">
        <v>2</v>
      </c>
      <c r="G72" s="12">
        <v>0</v>
      </c>
      <c r="H72" s="5" t="s">
        <v>32</v>
      </c>
      <c r="I72" s="5" t="s">
        <v>59</v>
      </c>
      <c r="J72" s="12">
        <v>24</v>
      </c>
      <c r="K72" s="12">
        <v>31</v>
      </c>
      <c r="L72" s="12">
        <v>2</v>
      </c>
      <c r="M72" s="13">
        <f t="shared" si="1"/>
        <v>0.12</v>
      </c>
    </row>
    <row r="73" ht="28" customHeight="1" spans="1:13">
      <c r="A73" s="11" t="s">
        <v>97</v>
      </c>
      <c r="B73" s="12">
        <v>90</v>
      </c>
      <c r="C73" s="13">
        <f t="shared" si="0"/>
        <v>0.9</v>
      </c>
      <c r="D73" s="12">
        <v>7</v>
      </c>
      <c r="E73" s="12">
        <v>3</v>
      </c>
      <c r="F73" s="12">
        <v>4</v>
      </c>
      <c r="G73" s="12">
        <v>0</v>
      </c>
      <c r="H73" s="5" t="s">
        <v>32</v>
      </c>
      <c r="I73" s="5" t="s">
        <v>59</v>
      </c>
      <c r="J73" s="12">
        <v>24</v>
      </c>
      <c r="K73" s="12">
        <v>32</v>
      </c>
      <c r="L73" s="12">
        <v>2</v>
      </c>
      <c r="M73" s="13">
        <f t="shared" si="1"/>
        <v>0.14</v>
      </c>
    </row>
    <row r="74" ht="28" customHeight="1" spans="1:13">
      <c r="A74" s="11" t="s">
        <v>98</v>
      </c>
      <c r="B74" s="12">
        <v>0</v>
      </c>
      <c r="C74" s="13">
        <f t="shared" ref="C74:C137" si="8">B74/100</f>
        <v>0</v>
      </c>
      <c r="D74" s="12">
        <v>0</v>
      </c>
      <c r="E74" s="12">
        <v>100</v>
      </c>
      <c r="F74" s="12">
        <v>0</v>
      </c>
      <c r="G74" s="12">
        <v>0</v>
      </c>
      <c r="H74" s="5" t="s">
        <v>32</v>
      </c>
      <c r="I74" s="5" t="s">
        <v>33</v>
      </c>
      <c r="J74" s="12">
        <v>32</v>
      </c>
      <c r="K74" s="12">
        <v>1</v>
      </c>
      <c r="L74" s="12">
        <v>2</v>
      </c>
      <c r="M74" s="13">
        <f t="shared" ref="M74:M137" si="9">(D74+E74+F74)/100</f>
        <v>1</v>
      </c>
    </row>
    <row r="75" ht="28" customHeight="1" spans="1:13">
      <c r="A75" s="11" t="s">
        <v>99</v>
      </c>
      <c r="B75" s="12">
        <v>0</v>
      </c>
      <c r="C75" s="13">
        <f t="shared" si="8"/>
        <v>0</v>
      </c>
      <c r="D75" s="12">
        <v>0</v>
      </c>
      <c r="E75" s="12">
        <v>100</v>
      </c>
      <c r="F75" s="12">
        <v>0</v>
      </c>
      <c r="G75" s="12">
        <v>0</v>
      </c>
      <c r="H75" s="5" t="s">
        <v>32</v>
      </c>
      <c r="I75" s="5" t="s">
        <v>33</v>
      </c>
      <c r="J75" s="12">
        <v>32</v>
      </c>
      <c r="K75" s="12">
        <v>2</v>
      </c>
      <c r="L75" s="12">
        <v>2</v>
      </c>
      <c r="M75" s="13">
        <f t="shared" si="9"/>
        <v>1</v>
      </c>
    </row>
    <row r="76" ht="28" customHeight="1" spans="1:13">
      <c r="A76" s="11" t="s">
        <v>100</v>
      </c>
      <c r="B76" s="12">
        <v>0</v>
      </c>
      <c r="C76" s="13">
        <f t="shared" si="8"/>
        <v>0</v>
      </c>
      <c r="D76" s="12">
        <v>0</v>
      </c>
      <c r="E76" s="12">
        <v>100</v>
      </c>
      <c r="F76" s="12">
        <v>0</v>
      </c>
      <c r="G76" s="12">
        <v>0</v>
      </c>
      <c r="H76" s="5" t="s">
        <v>32</v>
      </c>
      <c r="I76" s="5" t="s">
        <v>33</v>
      </c>
      <c r="J76" s="12">
        <v>32</v>
      </c>
      <c r="K76" s="12">
        <v>3</v>
      </c>
      <c r="L76" s="12">
        <v>2</v>
      </c>
      <c r="M76" s="13">
        <f t="shared" si="9"/>
        <v>1</v>
      </c>
    </row>
    <row r="77" ht="28" customHeight="1" spans="1:13">
      <c r="A77" s="11" t="s">
        <v>101</v>
      </c>
      <c r="B77" s="12">
        <v>0</v>
      </c>
      <c r="C77" s="13">
        <f t="shared" si="8"/>
        <v>0</v>
      </c>
      <c r="D77" s="12">
        <v>0</v>
      </c>
      <c r="E77" s="12">
        <v>100</v>
      </c>
      <c r="F77" s="12">
        <v>0</v>
      </c>
      <c r="G77" s="12">
        <v>0</v>
      </c>
      <c r="H77" s="5" t="s">
        <v>32</v>
      </c>
      <c r="I77" s="5" t="s">
        <v>33</v>
      </c>
      <c r="J77" s="12">
        <v>32</v>
      </c>
      <c r="K77" s="12">
        <v>4</v>
      </c>
      <c r="L77" s="12">
        <v>2</v>
      </c>
      <c r="M77" s="13">
        <f t="shared" si="9"/>
        <v>1</v>
      </c>
    </row>
    <row r="78" ht="28" customHeight="1" spans="1:13">
      <c r="A78" s="11" t="s">
        <v>102</v>
      </c>
      <c r="B78" s="12">
        <v>0</v>
      </c>
      <c r="C78" s="13">
        <f t="shared" si="8"/>
        <v>0</v>
      </c>
      <c r="D78" s="12">
        <v>0</v>
      </c>
      <c r="E78" s="12">
        <v>100</v>
      </c>
      <c r="F78" s="12">
        <v>0</v>
      </c>
      <c r="G78" s="12">
        <v>0</v>
      </c>
      <c r="H78" s="5" t="s">
        <v>32</v>
      </c>
      <c r="I78" s="5" t="s">
        <v>33</v>
      </c>
      <c r="J78" s="12">
        <v>32</v>
      </c>
      <c r="K78" s="12">
        <v>5</v>
      </c>
      <c r="L78" s="12">
        <v>2</v>
      </c>
      <c r="M78" s="13">
        <f t="shared" si="9"/>
        <v>1</v>
      </c>
    </row>
    <row r="79" ht="28" customHeight="1" spans="1:13">
      <c r="A79" s="11" t="s">
        <v>103</v>
      </c>
      <c r="B79" s="12">
        <v>0</v>
      </c>
      <c r="C79" s="13">
        <f t="shared" si="8"/>
        <v>0</v>
      </c>
      <c r="D79" s="12">
        <v>0</v>
      </c>
      <c r="E79" s="12">
        <v>100</v>
      </c>
      <c r="F79" s="12">
        <v>0</v>
      </c>
      <c r="G79" s="12">
        <v>0</v>
      </c>
      <c r="H79" s="5" t="s">
        <v>32</v>
      </c>
      <c r="I79" s="5" t="s">
        <v>33</v>
      </c>
      <c r="J79" s="12">
        <v>32</v>
      </c>
      <c r="K79" s="12">
        <v>6</v>
      </c>
      <c r="L79" s="12">
        <v>2</v>
      </c>
      <c r="M79" s="13">
        <f t="shared" si="9"/>
        <v>1</v>
      </c>
    </row>
    <row r="80" ht="28" customHeight="1" spans="1:13">
      <c r="A80" s="11" t="s">
        <v>104</v>
      </c>
      <c r="B80" s="12">
        <v>69</v>
      </c>
      <c r="C80" s="13">
        <f t="shared" si="8"/>
        <v>0.69</v>
      </c>
      <c r="D80" s="12">
        <v>25</v>
      </c>
      <c r="E80" s="12">
        <v>6</v>
      </c>
      <c r="F80" s="12">
        <v>4</v>
      </c>
      <c r="G80" s="12">
        <v>16</v>
      </c>
      <c r="H80" s="5" t="s">
        <v>32</v>
      </c>
      <c r="I80" s="5" t="s">
        <v>59</v>
      </c>
      <c r="J80" s="12">
        <v>32</v>
      </c>
      <c r="K80" s="12">
        <v>7</v>
      </c>
      <c r="L80" s="12">
        <v>2</v>
      </c>
      <c r="M80" s="13">
        <f t="shared" si="9"/>
        <v>0.35</v>
      </c>
    </row>
    <row r="81" ht="28" customHeight="1" spans="1:13">
      <c r="A81" s="11" t="s">
        <v>105</v>
      </c>
      <c r="B81" s="12">
        <v>79</v>
      </c>
      <c r="C81" s="13">
        <f t="shared" si="8"/>
        <v>0.79</v>
      </c>
      <c r="D81" s="12">
        <v>13</v>
      </c>
      <c r="E81" s="12">
        <v>8</v>
      </c>
      <c r="F81" s="12">
        <v>3</v>
      </c>
      <c r="G81" s="12">
        <v>7</v>
      </c>
      <c r="H81" s="5" t="s">
        <v>32</v>
      </c>
      <c r="I81" s="5" t="s">
        <v>59</v>
      </c>
      <c r="J81" s="12">
        <v>32</v>
      </c>
      <c r="K81" s="12">
        <v>8</v>
      </c>
      <c r="L81" s="12">
        <v>2</v>
      </c>
      <c r="M81" s="13">
        <f t="shared" si="9"/>
        <v>0.24</v>
      </c>
    </row>
    <row r="82" ht="28" customHeight="1" spans="1:13">
      <c r="A82" s="11" t="s">
        <v>106</v>
      </c>
      <c r="B82" s="12">
        <v>84</v>
      </c>
      <c r="C82" s="13">
        <f t="shared" si="8"/>
        <v>0.84</v>
      </c>
      <c r="D82" s="12">
        <v>10</v>
      </c>
      <c r="E82" s="12">
        <v>6</v>
      </c>
      <c r="F82" s="12">
        <v>2</v>
      </c>
      <c r="G82" s="12">
        <v>0</v>
      </c>
      <c r="H82" s="5" t="s">
        <v>32</v>
      </c>
      <c r="I82" s="5" t="s">
        <v>59</v>
      </c>
      <c r="J82" s="12">
        <v>32</v>
      </c>
      <c r="K82" s="12">
        <v>9</v>
      </c>
      <c r="L82" s="12">
        <v>2</v>
      </c>
      <c r="M82" s="13">
        <f t="shared" si="9"/>
        <v>0.18</v>
      </c>
    </row>
    <row r="83" ht="28" customHeight="1" spans="1:13">
      <c r="A83" s="11" t="s">
        <v>107</v>
      </c>
      <c r="B83" s="12">
        <v>86</v>
      </c>
      <c r="C83" s="13">
        <f t="shared" si="8"/>
        <v>0.86</v>
      </c>
      <c r="D83" s="12">
        <v>9</v>
      </c>
      <c r="E83" s="12">
        <v>5</v>
      </c>
      <c r="F83" s="12">
        <v>3</v>
      </c>
      <c r="G83" s="12">
        <v>3</v>
      </c>
      <c r="H83" s="5" t="s">
        <v>32</v>
      </c>
      <c r="I83" s="5" t="s">
        <v>59</v>
      </c>
      <c r="J83" s="12">
        <v>32</v>
      </c>
      <c r="K83" s="12">
        <v>10</v>
      </c>
      <c r="L83" s="12">
        <v>2</v>
      </c>
      <c r="M83" s="13">
        <f t="shared" si="9"/>
        <v>0.17</v>
      </c>
    </row>
    <row r="84" ht="28" customHeight="1" spans="1:13">
      <c r="A84" s="11" t="s">
        <v>108</v>
      </c>
      <c r="B84" s="12">
        <v>88</v>
      </c>
      <c r="C84" s="13">
        <f t="shared" si="8"/>
        <v>0.88</v>
      </c>
      <c r="D84" s="12">
        <v>7</v>
      </c>
      <c r="E84" s="12">
        <v>5</v>
      </c>
      <c r="F84" s="12">
        <v>3</v>
      </c>
      <c r="G84" s="12">
        <v>0</v>
      </c>
      <c r="H84" s="5" t="s">
        <v>32</v>
      </c>
      <c r="I84" s="5" t="s">
        <v>59</v>
      </c>
      <c r="J84" s="12">
        <v>32</v>
      </c>
      <c r="K84" s="12">
        <v>11</v>
      </c>
      <c r="L84" s="12">
        <v>2</v>
      </c>
      <c r="M84" s="13">
        <f t="shared" si="9"/>
        <v>0.15</v>
      </c>
    </row>
    <row r="85" ht="28" customHeight="1" spans="1:13">
      <c r="A85" s="11" t="s">
        <v>109</v>
      </c>
      <c r="B85" s="12">
        <v>89</v>
      </c>
      <c r="C85" s="13">
        <f t="shared" si="8"/>
        <v>0.89</v>
      </c>
      <c r="D85" s="12">
        <v>6</v>
      </c>
      <c r="E85" s="12">
        <v>5</v>
      </c>
      <c r="F85" s="12">
        <v>3</v>
      </c>
      <c r="G85" s="12">
        <v>0</v>
      </c>
      <c r="H85" s="5" t="s">
        <v>32</v>
      </c>
      <c r="I85" s="5" t="s">
        <v>59</v>
      </c>
      <c r="J85" s="12">
        <v>32</v>
      </c>
      <c r="K85" s="12">
        <v>12</v>
      </c>
      <c r="L85" s="12">
        <v>2</v>
      </c>
      <c r="M85" s="13">
        <f t="shared" si="9"/>
        <v>0.14</v>
      </c>
    </row>
    <row r="86" ht="28" customHeight="1" spans="1:13">
      <c r="A86" s="11" t="s">
        <v>110</v>
      </c>
      <c r="B86" s="12">
        <v>88</v>
      </c>
      <c r="C86" s="13">
        <f t="shared" si="8"/>
        <v>0.88</v>
      </c>
      <c r="D86" s="12">
        <v>5</v>
      </c>
      <c r="E86" s="12">
        <v>7</v>
      </c>
      <c r="F86" s="12">
        <v>3</v>
      </c>
      <c r="G86" s="12">
        <v>3</v>
      </c>
      <c r="H86" s="5" t="s">
        <v>32</v>
      </c>
      <c r="I86" s="5" t="s">
        <v>59</v>
      </c>
      <c r="J86" s="12">
        <v>32</v>
      </c>
      <c r="K86" s="12">
        <v>13</v>
      </c>
      <c r="L86" s="12">
        <v>2</v>
      </c>
      <c r="M86" s="13">
        <f t="shared" si="9"/>
        <v>0.15</v>
      </c>
    </row>
    <row r="87" ht="28" customHeight="1" spans="1:13">
      <c r="A87" s="11" t="s">
        <v>111</v>
      </c>
      <c r="B87" s="12">
        <v>90</v>
      </c>
      <c r="C87" s="13">
        <f t="shared" si="8"/>
        <v>0.9</v>
      </c>
      <c r="D87" s="12">
        <v>4</v>
      </c>
      <c r="E87" s="12">
        <v>6</v>
      </c>
      <c r="F87" s="12">
        <v>1</v>
      </c>
      <c r="G87" s="12">
        <v>0</v>
      </c>
      <c r="H87" s="5" t="s">
        <v>32</v>
      </c>
      <c r="I87" s="5" t="s">
        <v>59</v>
      </c>
      <c r="J87" s="12">
        <v>32</v>
      </c>
      <c r="K87" s="12">
        <v>14</v>
      </c>
      <c r="L87" s="12">
        <v>2</v>
      </c>
      <c r="M87" s="13">
        <f t="shared" si="9"/>
        <v>0.11</v>
      </c>
    </row>
    <row r="88" ht="28" customHeight="1" spans="1:13">
      <c r="A88" s="11" t="s">
        <v>112</v>
      </c>
      <c r="B88" s="12">
        <v>94</v>
      </c>
      <c r="C88" s="13">
        <f t="shared" si="8"/>
        <v>0.94</v>
      </c>
      <c r="D88" s="12">
        <v>2</v>
      </c>
      <c r="E88" s="12">
        <v>4</v>
      </c>
      <c r="F88" s="12">
        <v>4</v>
      </c>
      <c r="G88" s="12">
        <v>0</v>
      </c>
      <c r="H88" s="5" t="s">
        <v>32</v>
      </c>
      <c r="I88" s="5" t="s">
        <v>59</v>
      </c>
      <c r="J88" s="12">
        <v>32</v>
      </c>
      <c r="K88" s="12">
        <v>15</v>
      </c>
      <c r="L88" s="12">
        <v>2</v>
      </c>
      <c r="M88" s="13">
        <f t="shared" si="9"/>
        <v>0.1</v>
      </c>
    </row>
    <row r="89" ht="28" customHeight="1" spans="1:13">
      <c r="A89" s="11" t="s">
        <v>113</v>
      </c>
      <c r="B89" s="12">
        <v>91</v>
      </c>
      <c r="C89" s="13">
        <f t="shared" si="8"/>
        <v>0.91</v>
      </c>
      <c r="D89" s="12">
        <v>5</v>
      </c>
      <c r="E89" s="12">
        <v>4</v>
      </c>
      <c r="F89" s="12">
        <v>2</v>
      </c>
      <c r="G89" s="12">
        <v>0</v>
      </c>
      <c r="H89" s="5" t="s">
        <v>32</v>
      </c>
      <c r="I89" s="5" t="s">
        <v>59</v>
      </c>
      <c r="J89" s="12">
        <v>32</v>
      </c>
      <c r="K89" s="12">
        <v>16</v>
      </c>
      <c r="L89" s="12">
        <v>2</v>
      </c>
      <c r="M89" s="13">
        <f t="shared" si="9"/>
        <v>0.11</v>
      </c>
    </row>
    <row r="90" ht="28" customHeight="1" spans="1:13">
      <c r="A90" s="11" t="s">
        <v>114</v>
      </c>
      <c r="B90" s="12">
        <v>92</v>
      </c>
      <c r="C90" s="13">
        <f t="shared" si="8"/>
        <v>0.92</v>
      </c>
      <c r="D90" s="12">
        <v>5</v>
      </c>
      <c r="E90" s="12">
        <v>3</v>
      </c>
      <c r="F90" s="12">
        <v>4</v>
      </c>
      <c r="G90" s="12">
        <v>0</v>
      </c>
      <c r="H90" s="5" t="s">
        <v>32</v>
      </c>
      <c r="I90" s="5" t="s">
        <v>59</v>
      </c>
      <c r="J90" s="12">
        <v>32</v>
      </c>
      <c r="K90" s="12">
        <v>17</v>
      </c>
      <c r="L90" s="12">
        <v>2</v>
      </c>
      <c r="M90" s="13">
        <f t="shared" si="9"/>
        <v>0.12</v>
      </c>
    </row>
    <row r="91" ht="28" customHeight="1" spans="1:13">
      <c r="A91" s="11" t="s">
        <v>115</v>
      </c>
      <c r="B91" s="12">
        <v>94</v>
      </c>
      <c r="C91" s="13">
        <f t="shared" si="8"/>
        <v>0.94</v>
      </c>
      <c r="D91" s="12">
        <v>3</v>
      </c>
      <c r="E91" s="12">
        <v>3</v>
      </c>
      <c r="F91" s="12">
        <v>2</v>
      </c>
      <c r="G91" s="12">
        <v>0</v>
      </c>
      <c r="H91" s="5" t="s">
        <v>32</v>
      </c>
      <c r="I91" s="5" t="s">
        <v>59</v>
      </c>
      <c r="J91" s="12">
        <v>32</v>
      </c>
      <c r="K91" s="12">
        <v>18</v>
      </c>
      <c r="L91" s="12">
        <v>2</v>
      </c>
      <c r="M91" s="13">
        <f t="shared" si="9"/>
        <v>0.08</v>
      </c>
    </row>
    <row r="92" ht="28" customHeight="1" spans="1:13">
      <c r="A92" s="11" t="s">
        <v>116</v>
      </c>
      <c r="B92" s="12">
        <v>93</v>
      </c>
      <c r="C92" s="13">
        <f t="shared" si="8"/>
        <v>0.93</v>
      </c>
      <c r="D92" s="12">
        <v>4</v>
      </c>
      <c r="E92" s="12">
        <v>3</v>
      </c>
      <c r="F92" s="12">
        <v>4</v>
      </c>
      <c r="G92" s="12">
        <v>0</v>
      </c>
      <c r="H92" s="5" t="s">
        <v>32</v>
      </c>
      <c r="I92" s="5" t="s">
        <v>59</v>
      </c>
      <c r="J92" s="12">
        <v>32</v>
      </c>
      <c r="K92" s="12">
        <v>19</v>
      </c>
      <c r="L92" s="12">
        <v>2</v>
      </c>
      <c r="M92" s="13">
        <f t="shared" si="9"/>
        <v>0.11</v>
      </c>
    </row>
    <row r="93" ht="28" customHeight="1" spans="1:13">
      <c r="A93" s="11" t="s">
        <v>117</v>
      </c>
      <c r="B93" s="12">
        <v>95</v>
      </c>
      <c r="C93" s="13">
        <f t="shared" si="8"/>
        <v>0.95</v>
      </c>
      <c r="D93" s="12">
        <v>2</v>
      </c>
      <c r="E93" s="12">
        <v>3</v>
      </c>
      <c r="F93" s="12">
        <v>2</v>
      </c>
      <c r="G93" s="12">
        <v>0</v>
      </c>
      <c r="H93" s="5" t="s">
        <v>32</v>
      </c>
      <c r="I93" s="5" t="s">
        <v>59</v>
      </c>
      <c r="J93" s="12">
        <v>32</v>
      </c>
      <c r="K93" s="12">
        <v>20</v>
      </c>
      <c r="L93" s="12">
        <v>2</v>
      </c>
      <c r="M93" s="13">
        <f t="shared" si="9"/>
        <v>0.07</v>
      </c>
    </row>
    <row r="94" ht="28" customHeight="1" spans="1:13">
      <c r="A94" s="11" t="s">
        <v>118</v>
      </c>
      <c r="B94" s="12">
        <v>92</v>
      </c>
      <c r="C94" s="13">
        <f t="shared" si="8"/>
        <v>0.92</v>
      </c>
      <c r="D94" s="12">
        <v>4</v>
      </c>
      <c r="E94" s="12">
        <v>4</v>
      </c>
      <c r="F94" s="12">
        <v>1</v>
      </c>
      <c r="G94" s="12">
        <v>0</v>
      </c>
      <c r="H94" s="5" t="s">
        <v>32</v>
      </c>
      <c r="I94" s="5" t="s">
        <v>59</v>
      </c>
      <c r="J94" s="12">
        <v>32</v>
      </c>
      <c r="K94" s="12">
        <v>21</v>
      </c>
      <c r="L94" s="12">
        <v>2</v>
      </c>
      <c r="M94" s="13">
        <f t="shared" si="9"/>
        <v>0.09</v>
      </c>
    </row>
    <row r="95" ht="28" customHeight="1" spans="1:13">
      <c r="A95" s="11" t="s">
        <v>119</v>
      </c>
      <c r="B95" s="12">
        <v>94</v>
      </c>
      <c r="C95" s="13">
        <f t="shared" si="8"/>
        <v>0.94</v>
      </c>
      <c r="D95" s="12">
        <v>3</v>
      </c>
      <c r="E95" s="12">
        <v>3</v>
      </c>
      <c r="F95" s="12">
        <v>3</v>
      </c>
      <c r="G95" s="12">
        <v>0</v>
      </c>
      <c r="H95" s="5" t="s">
        <v>32</v>
      </c>
      <c r="I95" s="5" t="s">
        <v>59</v>
      </c>
      <c r="J95" s="12">
        <v>32</v>
      </c>
      <c r="K95" s="12">
        <v>22</v>
      </c>
      <c r="L95" s="12">
        <v>2</v>
      </c>
      <c r="M95" s="13">
        <f t="shared" si="9"/>
        <v>0.09</v>
      </c>
    </row>
    <row r="96" ht="28" customHeight="1" spans="1:13">
      <c r="A96" s="11" t="s">
        <v>120</v>
      </c>
      <c r="B96" s="12">
        <v>95</v>
      </c>
      <c r="C96" s="13">
        <f t="shared" si="8"/>
        <v>0.95</v>
      </c>
      <c r="D96" s="12">
        <v>2</v>
      </c>
      <c r="E96" s="12">
        <v>3</v>
      </c>
      <c r="F96" s="12">
        <v>0</v>
      </c>
      <c r="G96" s="12">
        <v>0</v>
      </c>
      <c r="H96" s="5" t="s">
        <v>32</v>
      </c>
      <c r="I96" s="5" t="s">
        <v>59</v>
      </c>
      <c r="J96" s="12">
        <v>32</v>
      </c>
      <c r="K96" s="12">
        <v>23</v>
      </c>
      <c r="L96" s="12">
        <v>2</v>
      </c>
      <c r="M96" s="13">
        <f t="shared" si="9"/>
        <v>0.05</v>
      </c>
    </row>
    <row r="97" ht="28" customHeight="1" spans="1:13">
      <c r="A97" s="11" t="s">
        <v>121</v>
      </c>
      <c r="B97" s="12">
        <v>94</v>
      </c>
      <c r="C97" s="13">
        <f t="shared" si="8"/>
        <v>0.94</v>
      </c>
      <c r="D97" s="12">
        <v>2</v>
      </c>
      <c r="E97" s="12">
        <v>4</v>
      </c>
      <c r="F97" s="12">
        <v>2</v>
      </c>
      <c r="G97" s="12">
        <v>0</v>
      </c>
      <c r="H97" s="5" t="s">
        <v>32</v>
      </c>
      <c r="I97" s="5" t="s">
        <v>59</v>
      </c>
      <c r="J97" s="12">
        <v>32</v>
      </c>
      <c r="K97" s="12">
        <v>24</v>
      </c>
      <c r="L97" s="12">
        <v>2</v>
      </c>
      <c r="M97" s="13">
        <f t="shared" si="9"/>
        <v>0.08</v>
      </c>
    </row>
    <row r="98" ht="28" customHeight="1" spans="1:13">
      <c r="A98" s="11" t="s">
        <v>122</v>
      </c>
      <c r="B98" s="12">
        <v>94</v>
      </c>
      <c r="C98" s="13">
        <f t="shared" si="8"/>
        <v>0.94</v>
      </c>
      <c r="D98" s="12">
        <v>3</v>
      </c>
      <c r="E98" s="12">
        <v>3</v>
      </c>
      <c r="F98" s="12">
        <v>1</v>
      </c>
      <c r="G98" s="12">
        <v>0</v>
      </c>
      <c r="H98" s="5" t="s">
        <v>32</v>
      </c>
      <c r="I98" s="5" t="s">
        <v>59</v>
      </c>
      <c r="J98" s="12">
        <v>32</v>
      </c>
      <c r="K98" s="12">
        <v>25</v>
      </c>
      <c r="L98" s="12">
        <v>2</v>
      </c>
      <c r="M98" s="13">
        <f t="shared" si="9"/>
        <v>0.07</v>
      </c>
    </row>
    <row r="99" ht="28" customHeight="1" spans="1:13">
      <c r="A99" s="11" t="s">
        <v>123</v>
      </c>
      <c r="B99" s="12">
        <v>94</v>
      </c>
      <c r="C99" s="13">
        <f t="shared" si="8"/>
        <v>0.94</v>
      </c>
      <c r="D99" s="12">
        <v>4</v>
      </c>
      <c r="E99" s="12">
        <v>2</v>
      </c>
      <c r="F99" s="12">
        <v>1</v>
      </c>
      <c r="G99" s="12">
        <v>0</v>
      </c>
      <c r="H99" s="5" t="s">
        <v>32</v>
      </c>
      <c r="I99" s="5" t="s">
        <v>59</v>
      </c>
      <c r="J99" s="12">
        <v>32</v>
      </c>
      <c r="K99" s="12">
        <v>26</v>
      </c>
      <c r="L99" s="12">
        <v>2</v>
      </c>
      <c r="M99" s="13">
        <f t="shared" si="9"/>
        <v>0.07</v>
      </c>
    </row>
    <row r="100" ht="28" customHeight="1" spans="1:13">
      <c r="A100" s="11" t="s">
        <v>124</v>
      </c>
      <c r="B100" s="12">
        <v>95</v>
      </c>
      <c r="C100" s="13">
        <f t="shared" si="8"/>
        <v>0.95</v>
      </c>
      <c r="D100" s="12">
        <v>3</v>
      </c>
      <c r="E100" s="12">
        <v>2</v>
      </c>
      <c r="F100" s="12">
        <v>1</v>
      </c>
      <c r="G100" s="12">
        <v>1</v>
      </c>
      <c r="H100" s="5" t="s">
        <v>32</v>
      </c>
      <c r="I100" s="5" t="s">
        <v>59</v>
      </c>
      <c r="J100" s="12">
        <v>32</v>
      </c>
      <c r="K100" s="12">
        <v>27</v>
      </c>
      <c r="L100" s="12">
        <v>2</v>
      </c>
      <c r="M100" s="13">
        <f t="shared" si="9"/>
        <v>0.06</v>
      </c>
    </row>
    <row r="101" ht="28" customHeight="1" spans="1:13">
      <c r="A101" s="11" t="s">
        <v>125</v>
      </c>
      <c r="B101" s="12">
        <v>93</v>
      </c>
      <c r="C101" s="13">
        <f t="shared" si="8"/>
        <v>0.93</v>
      </c>
      <c r="D101" s="12">
        <v>6</v>
      </c>
      <c r="E101" s="12">
        <v>1</v>
      </c>
      <c r="F101" s="12">
        <v>0</v>
      </c>
      <c r="G101" s="12">
        <v>2</v>
      </c>
      <c r="H101" s="5" t="s">
        <v>32</v>
      </c>
      <c r="I101" s="5" t="s">
        <v>59</v>
      </c>
      <c r="J101" s="12">
        <v>32</v>
      </c>
      <c r="K101" s="12">
        <v>28</v>
      </c>
      <c r="L101" s="12">
        <v>2</v>
      </c>
      <c r="M101" s="13">
        <f t="shared" si="9"/>
        <v>0.07</v>
      </c>
    </row>
    <row r="102" ht="28" customHeight="1" spans="1:13">
      <c r="A102" s="11" t="s">
        <v>126</v>
      </c>
      <c r="B102" s="12">
        <v>98</v>
      </c>
      <c r="C102" s="13">
        <f t="shared" si="8"/>
        <v>0.98</v>
      </c>
      <c r="D102" s="12">
        <v>1</v>
      </c>
      <c r="E102" s="12">
        <v>1</v>
      </c>
      <c r="F102" s="12">
        <v>3</v>
      </c>
      <c r="G102" s="12">
        <v>0</v>
      </c>
      <c r="H102" s="5" t="s">
        <v>32</v>
      </c>
      <c r="I102" s="5" t="s">
        <v>59</v>
      </c>
      <c r="J102" s="12">
        <v>32</v>
      </c>
      <c r="K102" s="12">
        <v>29</v>
      </c>
      <c r="L102" s="12">
        <v>2</v>
      </c>
      <c r="M102" s="13">
        <f t="shared" si="9"/>
        <v>0.05</v>
      </c>
    </row>
    <row r="103" ht="28" customHeight="1" spans="1:13">
      <c r="A103" s="11" t="s">
        <v>127</v>
      </c>
      <c r="B103" s="12">
        <v>94</v>
      </c>
      <c r="C103" s="13">
        <f t="shared" si="8"/>
        <v>0.94</v>
      </c>
      <c r="D103" s="12">
        <v>3</v>
      </c>
      <c r="E103" s="12">
        <v>3</v>
      </c>
      <c r="F103" s="12">
        <v>3</v>
      </c>
      <c r="G103" s="12">
        <v>0</v>
      </c>
      <c r="H103" s="5" t="s">
        <v>32</v>
      </c>
      <c r="I103" s="5" t="s">
        <v>59</v>
      </c>
      <c r="J103" s="12">
        <v>32</v>
      </c>
      <c r="K103" s="12">
        <v>30</v>
      </c>
      <c r="L103" s="12">
        <v>2</v>
      </c>
      <c r="M103" s="13">
        <f t="shared" si="9"/>
        <v>0.09</v>
      </c>
    </row>
    <row r="104" ht="28" customHeight="1" spans="1:13">
      <c r="A104" s="11" t="s">
        <v>128</v>
      </c>
      <c r="B104" s="12">
        <v>95</v>
      </c>
      <c r="C104" s="13">
        <f t="shared" si="8"/>
        <v>0.95</v>
      </c>
      <c r="D104" s="12">
        <v>3</v>
      </c>
      <c r="E104" s="12">
        <v>2</v>
      </c>
      <c r="F104" s="12">
        <v>0</v>
      </c>
      <c r="G104" s="12">
        <v>0</v>
      </c>
      <c r="H104" s="5" t="s">
        <v>32</v>
      </c>
      <c r="I104" s="5" t="s">
        <v>59</v>
      </c>
      <c r="J104" s="12">
        <v>32</v>
      </c>
      <c r="K104" s="12">
        <v>31</v>
      </c>
      <c r="L104" s="12">
        <v>2</v>
      </c>
      <c r="M104" s="13">
        <f t="shared" si="9"/>
        <v>0.05</v>
      </c>
    </row>
    <row r="105" ht="28" customHeight="1" spans="1:13">
      <c r="A105" s="11" t="s">
        <v>129</v>
      </c>
      <c r="B105" s="12">
        <v>94</v>
      </c>
      <c r="C105" s="13">
        <f t="shared" si="8"/>
        <v>0.94</v>
      </c>
      <c r="D105" s="12">
        <v>2</v>
      </c>
      <c r="E105" s="12">
        <v>4</v>
      </c>
      <c r="F105" s="12">
        <v>2</v>
      </c>
      <c r="G105" s="12">
        <v>0</v>
      </c>
      <c r="H105" s="5" t="s">
        <v>32</v>
      </c>
      <c r="I105" s="5" t="s">
        <v>59</v>
      </c>
      <c r="J105" s="12">
        <v>32</v>
      </c>
      <c r="K105" s="12">
        <v>32</v>
      </c>
      <c r="L105" s="12">
        <v>2</v>
      </c>
      <c r="M105" s="13">
        <f t="shared" si="9"/>
        <v>0.08</v>
      </c>
    </row>
    <row r="106" ht="28" customHeight="1" spans="1:13">
      <c r="A106" s="11" t="s">
        <v>130</v>
      </c>
      <c r="B106" s="12">
        <v>0</v>
      </c>
      <c r="C106" s="13">
        <f t="shared" si="8"/>
        <v>0</v>
      </c>
      <c r="D106" s="12">
        <v>0</v>
      </c>
      <c r="E106" s="12">
        <v>100</v>
      </c>
      <c r="F106" s="12">
        <v>0</v>
      </c>
      <c r="G106" s="12">
        <v>0</v>
      </c>
      <c r="H106" s="5" t="s">
        <v>32</v>
      </c>
      <c r="I106" s="5" t="s">
        <v>33</v>
      </c>
      <c r="J106" s="12">
        <v>40</v>
      </c>
      <c r="K106" s="12">
        <v>1</v>
      </c>
      <c r="L106" s="12">
        <v>2</v>
      </c>
      <c r="M106" s="13">
        <f t="shared" si="9"/>
        <v>1</v>
      </c>
    </row>
    <row r="107" ht="28" customHeight="1" spans="1:13">
      <c r="A107" s="11" t="s">
        <v>131</v>
      </c>
      <c r="B107" s="12">
        <v>0</v>
      </c>
      <c r="C107" s="13">
        <f t="shared" si="8"/>
        <v>0</v>
      </c>
      <c r="D107" s="12">
        <v>0</v>
      </c>
      <c r="E107" s="12">
        <v>100</v>
      </c>
      <c r="F107" s="12">
        <v>0</v>
      </c>
      <c r="G107" s="12">
        <v>0</v>
      </c>
      <c r="H107" s="5" t="s">
        <v>32</v>
      </c>
      <c r="I107" s="5" t="s">
        <v>33</v>
      </c>
      <c r="J107" s="12">
        <v>40</v>
      </c>
      <c r="K107" s="12">
        <v>2</v>
      </c>
      <c r="L107" s="12">
        <v>2</v>
      </c>
      <c r="M107" s="13">
        <f t="shared" si="9"/>
        <v>1</v>
      </c>
    </row>
    <row r="108" ht="28" customHeight="1" spans="1:13">
      <c r="A108" s="11" t="s">
        <v>132</v>
      </c>
      <c r="B108" s="12">
        <v>0</v>
      </c>
      <c r="C108" s="13">
        <f t="shared" si="8"/>
        <v>0</v>
      </c>
      <c r="D108" s="12">
        <v>0</v>
      </c>
      <c r="E108" s="12">
        <v>100</v>
      </c>
      <c r="F108" s="12">
        <v>0</v>
      </c>
      <c r="G108" s="12">
        <v>0</v>
      </c>
      <c r="H108" s="5" t="s">
        <v>32</v>
      </c>
      <c r="I108" s="5" t="s">
        <v>33</v>
      </c>
      <c r="J108" s="12">
        <v>40</v>
      </c>
      <c r="K108" s="12">
        <v>3</v>
      </c>
      <c r="L108" s="12">
        <v>2</v>
      </c>
      <c r="M108" s="13">
        <f t="shared" si="9"/>
        <v>1</v>
      </c>
    </row>
    <row r="109" ht="28" customHeight="1" spans="1:13">
      <c r="A109" s="11" t="s">
        <v>133</v>
      </c>
      <c r="B109" s="12">
        <v>0</v>
      </c>
      <c r="C109" s="13">
        <f t="shared" si="8"/>
        <v>0</v>
      </c>
      <c r="D109" s="12">
        <v>0</v>
      </c>
      <c r="E109" s="12">
        <v>100</v>
      </c>
      <c r="F109" s="12">
        <v>0</v>
      </c>
      <c r="G109" s="12">
        <v>0</v>
      </c>
      <c r="H109" s="5" t="s">
        <v>32</v>
      </c>
      <c r="I109" s="5" t="s">
        <v>33</v>
      </c>
      <c r="J109" s="12">
        <v>40</v>
      </c>
      <c r="K109" s="12">
        <v>4</v>
      </c>
      <c r="L109" s="12">
        <v>2</v>
      </c>
      <c r="M109" s="13">
        <f t="shared" si="9"/>
        <v>1</v>
      </c>
    </row>
    <row r="110" ht="28" customHeight="1" spans="1:13">
      <c r="A110" s="11" t="s">
        <v>134</v>
      </c>
      <c r="B110" s="12">
        <v>0</v>
      </c>
      <c r="C110" s="13">
        <f t="shared" si="8"/>
        <v>0</v>
      </c>
      <c r="D110" s="12">
        <v>0</v>
      </c>
      <c r="E110" s="12">
        <v>100</v>
      </c>
      <c r="F110" s="12">
        <v>0</v>
      </c>
      <c r="G110" s="12">
        <v>0</v>
      </c>
      <c r="H110" s="5" t="s">
        <v>32</v>
      </c>
      <c r="I110" s="5" t="s">
        <v>33</v>
      </c>
      <c r="J110" s="12">
        <v>40</v>
      </c>
      <c r="K110" s="12">
        <v>5</v>
      </c>
      <c r="L110" s="12">
        <v>2</v>
      </c>
      <c r="M110" s="13">
        <f t="shared" si="9"/>
        <v>1</v>
      </c>
    </row>
    <row r="111" ht="28" customHeight="1" spans="1:13">
      <c r="A111" s="11" t="s">
        <v>135</v>
      </c>
      <c r="B111" s="12">
        <v>83</v>
      </c>
      <c r="C111" s="13">
        <f t="shared" si="8"/>
        <v>0.83</v>
      </c>
      <c r="D111" s="12">
        <v>11</v>
      </c>
      <c r="E111" s="12">
        <v>6</v>
      </c>
      <c r="F111" s="12">
        <v>6</v>
      </c>
      <c r="G111" s="12">
        <v>0</v>
      </c>
      <c r="H111" s="5" t="s">
        <v>32</v>
      </c>
      <c r="I111" s="5" t="s">
        <v>59</v>
      </c>
      <c r="J111" s="12">
        <v>40</v>
      </c>
      <c r="K111" s="12">
        <v>6</v>
      </c>
      <c r="L111" s="12">
        <v>2</v>
      </c>
      <c r="M111" s="13">
        <f t="shared" si="9"/>
        <v>0.23</v>
      </c>
    </row>
    <row r="112" ht="28" customHeight="1" spans="1:13">
      <c r="A112" s="11" t="s">
        <v>136</v>
      </c>
      <c r="B112" s="12">
        <v>87</v>
      </c>
      <c r="C112" s="13">
        <f t="shared" si="8"/>
        <v>0.87</v>
      </c>
      <c r="D112" s="12">
        <v>9</v>
      </c>
      <c r="E112" s="12">
        <v>4</v>
      </c>
      <c r="F112" s="12">
        <v>0</v>
      </c>
      <c r="G112" s="12">
        <v>5</v>
      </c>
      <c r="H112" s="5" t="s">
        <v>32</v>
      </c>
      <c r="I112" s="5" t="s">
        <v>59</v>
      </c>
      <c r="J112" s="12">
        <v>40</v>
      </c>
      <c r="K112" s="12">
        <v>7</v>
      </c>
      <c r="L112" s="12">
        <v>2</v>
      </c>
      <c r="M112" s="13">
        <f t="shared" si="9"/>
        <v>0.13</v>
      </c>
    </row>
    <row r="113" ht="28" customHeight="1" spans="1:13">
      <c r="A113" s="11" t="s">
        <v>137</v>
      </c>
      <c r="B113" s="12">
        <v>90</v>
      </c>
      <c r="C113" s="13">
        <f t="shared" si="8"/>
        <v>0.9</v>
      </c>
      <c r="D113" s="12">
        <v>8</v>
      </c>
      <c r="E113" s="12">
        <v>2</v>
      </c>
      <c r="F113" s="12">
        <v>1</v>
      </c>
      <c r="G113" s="12">
        <v>0</v>
      </c>
      <c r="H113" s="5" t="s">
        <v>32</v>
      </c>
      <c r="I113" s="5" t="s">
        <v>59</v>
      </c>
      <c r="J113" s="12">
        <v>40</v>
      </c>
      <c r="K113" s="12">
        <v>8</v>
      </c>
      <c r="L113" s="12">
        <v>2</v>
      </c>
      <c r="M113" s="13">
        <f t="shared" si="9"/>
        <v>0.11</v>
      </c>
    </row>
    <row r="114" ht="28" customHeight="1" spans="1:13">
      <c r="A114" s="11" t="s">
        <v>138</v>
      </c>
      <c r="B114" s="12">
        <v>96</v>
      </c>
      <c r="C114" s="13">
        <f t="shared" si="8"/>
        <v>0.96</v>
      </c>
      <c r="D114" s="12">
        <v>2</v>
      </c>
      <c r="E114" s="12">
        <v>2</v>
      </c>
      <c r="F114" s="12">
        <v>1</v>
      </c>
      <c r="G114" s="12">
        <v>0</v>
      </c>
      <c r="H114" s="5" t="s">
        <v>32</v>
      </c>
      <c r="I114" s="5" t="s">
        <v>59</v>
      </c>
      <c r="J114" s="12">
        <v>40</v>
      </c>
      <c r="K114" s="12">
        <v>9</v>
      </c>
      <c r="L114" s="12">
        <v>2</v>
      </c>
      <c r="M114" s="13">
        <f t="shared" si="9"/>
        <v>0.05</v>
      </c>
    </row>
    <row r="115" ht="28" customHeight="1" spans="1:13">
      <c r="A115" s="11" t="s">
        <v>139</v>
      </c>
      <c r="B115" s="12">
        <v>96</v>
      </c>
      <c r="C115" s="13">
        <f t="shared" si="8"/>
        <v>0.96</v>
      </c>
      <c r="D115" s="12">
        <v>3</v>
      </c>
      <c r="E115" s="12">
        <v>1</v>
      </c>
      <c r="F115" s="12">
        <v>1</v>
      </c>
      <c r="G115" s="12">
        <v>0</v>
      </c>
      <c r="H115" s="5" t="s">
        <v>32</v>
      </c>
      <c r="I115" s="5" t="s">
        <v>59</v>
      </c>
      <c r="J115" s="12">
        <v>40</v>
      </c>
      <c r="K115" s="12">
        <v>10</v>
      </c>
      <c r="L115" s="12">
        <v>2</v>
      </c>
      <c r="M115" s="13">
        <f t="shared" si="9"/>
        <v>0.05</v>
      </c>
    </row>
    <row r="116" ht="28" customHeight="1" spans="1:13">
      <c r="A116" s="11" t="s">
        <v>140</v>
      </c>
      <c r="B116" s="12">
        <v>95</v>
      </c>
      <c r="C116" s="13">
        <f t="shared" si="8"/>
        <v>0.95</v>
      </c>
      <c r="D116" s="12">
        <v>3</v>
      </c>
      <c r="E116" s="12">
        <v>2</v>
      </c>
      <c r="F116" s="12">
        <v>1</v>
      </c>
      <c r="G116" s="12">
        <v>0</v>
      </c>
      <c r="H116" s="5" t="s">
        <v>32</v>
      </c>
      <c r="I116" s="5" t="s">
        <v>59</v>
      </c>
      <c r="J116" s="12">
        <v>40</v>
      </c>
      <c r="K116" s="12">
        <v>11</v>
      </c>
      <c r="L116" s="12">
        <v>2</v>
      </c>
      <c r="M116" s="13">
        <f t="shared" si="9"/>
        <v>0.06</v>
      </c>
    </row>
    <row r="117" ht="28" customHeight="1" spans="1:13">
      <c r="A117" s="11" t="s">
        <v>141</v>
      </c>
      <c r="B117" s="12">
        <v>99</v>
      </c>
      <c r="C117" s="13">
        <f t="shared" si="8"/>
        <v>0.99</v>
      </c>
      <c r="D117" s="12">
        <v>1</v>
      </c>
      <c r="E117" s="12">
        <v>0</v>
      </c>
      <c r="F117" s="12">
        <v>0</v>
      </c>
      <c r="G117" s="12">
        <v>0</v>
      </c>
      <c r="H117" s="5" t="s">
        <v>32</v>
      </c>
      <c r="I117" s="5" t="s">
        <v>59</v>
      </c>
      <c r="J117" s="12">
        <v>40</v>
      </c>
      <c r="K117" s="12">
        <v>12</v>
      </c>
      <c r="L117" s="12">
        <v>2</v>
      </c>
      <c r="M117" s="13">
        <f t="shared" si="9"/>
        <v>0.01</v>
      </c>
    </row>
    <row r="118" ht="28" customHeight="1" spans="1:13">
      <c r="A118" s="11" t="s">
        <v>142</v>
      </c>
      <c r="B118" s="12">
        <v>97</v>
      </c>
      <c r="C118" s="13">
        <f t="shared" si="8"/>
        <v>0.97</v>
      </c>
      <c r="D118" s="12">
        <v>2</v>
      </c>
      <c r="E118" s="12">
        <v>1</v>
      </c>
      <c r="F118" s="12">
        <v>0</v>
      </c>
      <c r="G118" s="12">
        <v>0</v>
      </c>
      <c r="H118" s="5" t="s">
        <v>32</v>
      </c>
      <c r="I118" s="5" t="s">
        <v>59</v>
      </c>
      <c r="J118" s="12">
        <v>40</v>
      </c>
      <c r="K118" s="12">
        <v>13</v>
      </c>
      <c r="L118" s="12">
        <v>2</v>
      </c>
      <c r="M118" s="13">
        <f t="shared" si="9"/>
        <v>0.03</v>
      </c>
    </row>
    <row r="119" ht="28" customHeight="1" spans="1:13">
      <c r="A119" s="11" t="s">
        <v>143</v>
      </c>
      <c r="B119" s="12">
        <v>98</v>
      </c>
      <c r="C119" s="13">
        <f t="shared" si="8"/>
        <v>0.98</v>
      </c>
      <c r="D119" s="12">
        <v>2</v>
      </c>
      <c r="E119" s="12">
        <v>0</v>
      </c>
      <c r="F119" s="12">
        <v>0</v>
      </c>
      <c r="G119" s="12">
        <v>0</v>
      </c>
      <c r="H119" s="5" t="s">
        <v>32</v>
      </c>
      <c r="I119" s="5" t="s">
        <v>59</v>
      </c>
      <c r="J119" s="12">
        <v>40</v>
      </c>
      <c r="K119" s="12">
        <v>14</v>
      </c>
      <c r="L119" s="12">
        <v>2</v>
      </c>
      <c r="M119" s="13">
        <f t="shared" si="9"/>
        <v>0.02</v>
      </c>
    </row>
    <row r="120" ht="28" customHeight="1" spans="1:13">
      <c r="A120" s="11" t="s">
        <v>144</v>
      </c>
      <c r="B120" s="12">
        <v>99</v>
      </c>
      <c r="C120" s="13">
        <f t="shared" si="8"/>
        <v>0.99</v>
      </c>
      <c r="D120" s="12">
        <v>0</v>
      </c>
      <c r="E120" s="12">
        <v>1</v>
      </c>
      <c r="F120" s="12">
        <v>0</v>
      </c>
      <c r="G120" s="12">
        <v>0</v>
      </c>
      <c r="H120" s="5" t="s">
        <v>32</v>
      </c>
      <c r="I120" s="5" t="s">
        <v>59</v>
      </c>
      <c r="J120" s="12">
        <v>40</v>
      </c>
      <c r="K120" s="12">
        <v>15</v>
      </c>
      <c r="L120" s="12">
        <v>2</v>
      </c>
      <c r="M120" s="13">
        <f t="shared" si="9"/>
        <v>0.01</v>
      </c>
    </row>
    <row r="121" ht="28" customHeight="1" spans="1:13">
      <c r="A121" s="11" t="s">
        <v>145</v>
      </c>
      <c r="B121" s="12">
        <v>99</v>
      </c>
      <c r="C121" s="13">
        <f t="shared" si="8"/>
        <v>0.99</v>
      </c>
      <c r="D121" s="12">
        <v>1</v>
      </c>
      <c r="E121" s="12">
        <v>0</v>
      </c>
      <c r="F121" s="12">
        <v>0</v>
      </c>
      <c r="G121" s="12">
        <v>0</v>
      </c>
      <c r="H121" s="5" t="s">
        <v>32</v>
      </c>
      <c r="I121" s="5" t="s">
        <v>59</v>
      </c>
      <c r="J121" s="12">
        <v>40</v>
      </c>
      <c r="K121" s="12">
        <v>16</v>
      </c>
      <c r="L121" s="12">
        <v>2</v>
      </c>
      <c r="M121" s="13">
        <f t="shared" si="9"/>
        <v>0.01</v>
      </c>
    </row>
    <row r="122" ht="28" customHeight="1" spans="1:13">
      <c r="A122" s="11" t="s">
        <v>146</v>
      </c>
      <c r="B122" s="12">
        <v>96</v>
      </c>
      <c r="C122" s="13">
        <f t="shared" si="8"/>
        <v>0.96</v>
      </c>
      <c r="D122" s="12">
        <v>1</v>
      </c>
      <c r="E122" s="12">
        <v>3</v>
      </c>
      <c r="F122" s="12">
        <v>0</v>
      </c>
      <c r="G122" s="12">
        <v>0</v>
      </c>
      <c r="H122" s="5" t="s">
        <v>32</v>
      </c>
      <c r="I122" s="5" t="s">
        <v>59</v>
      </c>
      <c r="J122" s="12">
        <v>40</v>
      </c>
      <c r="K122" s="12">
        <v>17</v>
      </c>
      <c r="L122" s="12">
        <v>2</v>
      </c>
      <c r="M122" s="13">
        <f t="shared" si="9"/>
        <v>0.04</v>
      </c>
    </row>
    <row r="123" ht="28" customHeight="1" spans="1:13">
      <c r="A123" s="11" t="s">
        <v>147</v>
      </c>
      <c r="B123" s="12">
        <v>99</v>
      </c>
      <c r="C123" s="13">
        <f t="shared" si="8"/>
        <v>0.99</v>
      </c>
      <c r="D123" s="12">
        <v>1</v>
      </c>
      <c r="E123" s="12">
        <v>0</v>
      </c>
      <c r="F123" s="12">
        <v>0</v>
      </c>
      <c r="G123" s="12">
        <v>0</v>
      </c>
      <c r="H123" s="5" t="s">
        <v>32</v>
      </c>
      <c r="I123" s="5" t="s">
        <v>59</v>
      </c>
      <c r="J123" s="12">
        <v>40</v>
      </c>
      <c r="K123" s="12">
        <v>18</v>
      </c>
      <c r="L123" s="12">
        <v>2</v>
      </c>
      <c r="M123" s="13">
        <f t="shared" si="9"/>
        <v>0.01</v>
      </c>
    </row>
    <row r="124" ht="28" customHeight="1" spans="1:13">
      <c r="A124" s="11" t="s">
        <v>148</v>
      </c>
      <c r="B124" s="12">
        <v>99</v>
      </c>
      <c r="C124" s="13">
        <f t="shared" si="8"/>
        <v>0.99</v>
      </c>
      <c r="D124" s="12">
        <v>1</v>
      </c>
      <c r="E124" s="12">
        <v>0</v>
      </c>
      <c r="F124" s="12">
        <v>1</v>
      </c>
      <c r="G124" s="12">
        <v>0</v>
      </c>
      <c r="H124" s="5" t="s">
        <v>32</v>
      </c>
      <c r="I124" s="5" t="s">
        <v>59</v>
      </c>
      <c r="J124" s="12">
        <v>40</v>
      </c>
      <c r="K124" s="12">
        <v>19</v>
      </c>
      <c r="L124" s="12">
        <v>2</v>
      </c>
      <c r="M124" s="13">
        <f t="shared" si="9"/>
        <v>0.02</v>
      </c>
    </row>
    <row r="125" ht="28" customHeight="1" spans="1:13">
      <c r="A125" s="11" t="s">
        <v>149</v>
      </c>
      <c r="B125" s="12">
        <v>99</v>
      </c>
      <c r="C125" s="13">
        <f t="shared" si="8"/>
        <v>0.99</v>
      </c>
      <c r="D125" s="12">
        <v>1</v>
      </c>
      <c r="E125" s="12">
        <v>0</v>
      </c>
      <c r="F125" s="12">
        <v>0</v>
      </c>
      <c r="G125" s="12">
        <v>0</v>
      </c>
      <c r="H125" s="5" t="s">
        <v>32</v>
      </c>
      <c r="I125" s="5" t="s">
        <v>59</v>
      </c>
      <c r="J125" s="12">
        <v>40</v>
      </c>
      <c r="K125" s="12">
        <v>20</v>
      </c>
      <c r="L125" s="12">
        <v>2</v>
      </c>
      <c r="M125" s="13">
        <f t="shared" si="9"/>
        <v>0.01</v>
      </c>
    </row>
    <row r="126" ht="28" customHeight="1" spans="1:13">
      <c r="A126" s="11" t="s">
        <v>150</v>
      </c>
      <c r="B126" s="12">
        <v>100</v>
      </c>
      <c r="C126" s="13">
        <f t="shared" si="8"/>
        <v>1</v>
      </c>
      <c r="D126" s="12">
        <v>0</v>
      </c>
      <c r="E126" s="12">
        <v>0</v>
      </c>
      <c r="F126" s="12">
        <v>0</v>
      </c>
      <c r="G126" s="12">
        <v>0</v>
      </c>
      <c r="H126" s="5" t="s">
        <v>32</v>
      </c>
      <c r="I126" s="5" t="s">
        <v>151</v>
      </c>
      <c r="J126" s="12">
        <v>40</v>
      </c>
      <c r="K126" s="12">
        <v>21</v>
      </c>
      <c r="L126" s="12">
        <v>2</v>
      </c>
      <c r="M126" s="13">
        <f t="shared" si="9"/>
        <v>0</v>
      </c>
    </row>
    <row r="127" ht="28" customHeight="1" spans="1:13">
      <c r="A127" s="11" t="s">
        <v>152</v>
      </c>
      <c r="B127" s="12">
        <v>98</v>
      </c>
      <c r="C127" s="13">
        <f t="shared" si="8"/>
        <v>0.98</v>
      </c>
      <c r="D127" s="12">
        <v>1</v>
      </c>
      <c r="E127" s="12">
        <v>1</v>
      </c>
      <c r="F127" s="12">
        <v>0</v>
      </c>
      <c r="G127" s="12">
        <v>0</v>
      </c>
      <c r="H127" s="5" t="s">
        <v>32</v>
      </c>
      <c r="I127" s="5" t="s">
        <v>59</v>
      </c>
      <c r="J127" s="12">
        <v>40</v>
      </c>
      <c r="K127" s="12">
        <v>22</v>
      </c>
      <c r="L127" s="12">
        <v>2</v>
      </c>
      <c r="M127" s="13">
        <f t="shared" si="9"/>
        <v>0.02</v>
      </c>
    </row>
    <row r="128" ht="28" customHeight="1" spans="1:13">
      <c r="A128" s="11" t="s">
        <v>153</v>
      </c>
      <c r="B128" s="12">
        <v>99</v>
      </c>
      <c r="C128" s="13">
        <f t="shared" si="8"/>
        <v>0.99</v>
      </c>
      <c r="D128" s="12">
        <v>0</v>
      </c>
      <c r="E128" s="12">
        <v>1</v>
      </c>
      <c r="F128" s="12">
        <v>2</v>
      </c>
      <c r="G128" s="12">
        <v>1</v>
      </c>
      <c r="H128" s="5" t="s">
        <v>32</v>
      </c>
      <c r="I128" s="5" t="s">
        <v>59</v>
      </c>
      <c r="J128" s="12">
        <v>40</v>
      </c>
      <c r="K128" s="12">
        <v>23</v>
      </c>
      <c r="L128" s="12">
        <v>2</v>
      </c>
      <c r="M128" s="13">
        <f t="shared" si="9"/>
        <v>0.03</v>
      </c>
    </row>
    <row r="129" ht="28" customHeight="1" spans="1:13">
      <c r="A129" s="11" t="s">
        <v>154</v>
      </c>
      <c r="B129" s="12">
        <v>98</v>
      </c>
      <c r="C129" s="13">
        <f t="shared" si="8"/>
        <v>0.98</v>
      </c>
      <c r="D129" s="12">
        <v>0</v>
      </c>
      <c r="E129" s="12">
        <v>2</v>
      </c>
      <c r="F129" s="12">
        <v>0</v>
      </c>
      <c r="G129" s="12">
        <v>0</v>
      </c>
      <c r="H129" s="5" t="s">
        <v>32</v>
      </c>
      <c r="I129" s="5" t="s">
        <v>59</v>
      </c>
      <c r="J129" s="12">
        <v>40</v>
      </c>
      <c r="K129" s="12">
        <v>24</v>
      </c>
      <c r="L129" s="12">
        <v>2</v>
      </c>
      <c r="M129" s="13">
        <f t="shared" si="9"/>
        <v>0.02</v>
      </c>
    </row>
    <row r="130" ht="28" customHeight="1" spans="1:13">
      <c r="A130" s="11" t="s">
        <v>155</v>
      </c>
      <c r="B130" s="12">
        <v>98</v>
      </c>
      <c r="C130" s="13">
        <f t="shared" si="8"/>
        <v>0.98</v>
      </c>
      <c r="D130" s="12">
        <v>1</v>
      </c>
      <c r="E130" s="12">
        <v>1</v>
      </c>
      <c r="F130" s="12">
        <v>0</v>
      </c>
      <c r="G130" s="12">
        <v>0</v>
      </c>
      <c r="H130" s="5" t="s">
        <v>32</v>
      </c>
      <c r="I130" s="5" t="s">
        <v>59</v>
      </c>
      <c r="J130" s="12">
        <v>40</v>
      </c>
      <c r="K130" s="12">
        <v>25</v>
      </c>
      <c r="L130" s="12">
        <v>2</v>
      </c>
      <c r="M130" s="13">
        <f t="shared" si="9"/>
        <v>0.02</v>
      </c>
    </row>
    <row r="131" ht="28" customHeight="1" spans="1:13">
      <c r="A131" s="11" t="s">
        <v>156</v>
      </c>
      <c r="B131" s="12">
        <v>98</v>
      </c>
      <c r="C131" s="13">
        <f t="shared" si="8"/>
        <v>0.98</v>
      </c>
      <c r="D131" s="12">
        <v>1</v>
      </c>
      <c r="E131" s="12">
        <v>1</v>
      </c>
      <c r="F131" s="12">
        <v>0</v>
      </c>
      <c r="G131" s="12">
        <v>0</v>
      </c>
      <c r="H131" s="5" t="s">
        <v>32</v>
      </c>
      <c r="I131" s="5" t="s">
        <v>59</v>
      </c>
      <c r="J131" s="12">
        <v>40</v>
      </c>
      <c r="K131" s="12">
        <v>26</v>
      </c>
      <c r="L131" s="12">
        <v>2</v>
      </c>
      <c r="M131" s="13">
        <f t="shared" si="9"/>
        <v>0.02</v>
      </c>
    </row>
    <row r="132" ht="28" customHeight="1" spans="1:13">
      <c r="A132" s="11" t="s">
        <v>157</v>
      </c>
      <c r="B132" s="12">
        <v>100</v>
      </c>
      <c r="C132" s="13">
        <f t="shared" si="8"/>
        <v>1</v>
      </c>
      <c r="D132" s="12">
        <v>0</v>
      </c>
      <c r="E132" s="12">
        <v>0</v>
      </c>
      <c r="F132" s="12">
        <v>0</v>
      </c>
      <c r="G132" s="12">
        <v>0</v>
      </c>
      <c r="H132" s="5" t="s">
        <v>32</v>
      </c>
      <c r="I132" s="5" t="s">
        <v>151</v>
      </c>
      <c r="J132" s="12">
        <v>40</v>
      </c>
      <c r="K132" s="12">
        <v>27</v>
      </c>
      <c r="L132" s="12">
        <v>2</v>
      </c>
      <c r="M132" s="13">
        <f t="shared" si="9"/>
        <v>0</v>
      </c>
    </row>
    <row r="133" ht="28" customHeight="1" spans="1:13">
      <c r="A133" s="11" t="s">
        <v>158</v>
      </c>
      <c r="B133" s="12">
        <v>100</v>
      </c>
      <c r="C133" s="13">
        <f t="shared" si="8"/>
        <v>1</v>
      </c>
      <c r="D133" s="12">
        <v>0</v>
      </c>
      <c r="E133" s="12">
        <v>0</v>
      </c>
      <c r="F133" s="12">
        <v>0</v>
      </c>
      <c r="G133" s="12">
        <v>0</v>
      </c>
      <c r="H133" s="5" t="s">
        <v>32</v>
      </c>
      <c r="I133" s="5" t="s">
        <v>151</v>
      </c>
      <c r="J133" s="12">
        <v>40</v>
      </c>
      <c r="K133" s="12">
        <v>28</v>
      </c>
      <c r="L133" s="12">
        <v>2</v>
      </c>
      <c r="M133" s="13">
        <f t="shared" si="9"/>
        <v>0</v>
      </c>
    </row>
    <row r="134" ht="28" customHeight="1" spans="1:13">
      <c r="A134" s="11" t="s">
        <v>159</v>
      </c>
      <c r="B134" s="12">
        <v>99</v>
      </c>
      <c r="C134" s="13">
        <f t="shared" si="8"/>
        <v>0.99</v>
      </c>
      <c r="D134" s="12">
        <v>1</v>
      </c>
      <c r="E134" s="12">
        <v>0</v>
      </c>
      <c r="F134" s="12">
        <v>1</v>
      </c>
      <c r="G134" s="12">
        <v>0</v>
      </c>
      <c r="H134" s="5" t="s">
        <v>32</v>
      </c>
      <c r="I134" s="5" t="s">
        <v>59</v>
      </c>
      <c r="J134" s="12">
        <v>40</v>
      </c>
      <c r="K134" s="12">
        <v>29</v>
      </c>
      <c r="L134" s="12">
        <v>2</v>
      </c>
      <c r="M134" s="13">
        <f t="shared" si="9"/>
        <v>0.02</v>
      </c>
    </row>
    <row r="135" ht="28" customHeight="1" spans="1:13">
      <c r="A135" s="11" t="s">
        <v>160</v>
      </c>
      <c r="B135" s="12">
        <v>100</v>
      </c>
      <c r="C135" s="13">
        <f t="shared" si="8"/>
        <v>1</v>
      </c>
      <c r="D135" s="12">
        <v>0</v>
      </c>
      <c r="E135" s="12">
        <v>0</v>
      </c>
      <c r="F135" s="12">
        <v>0</v>
      </c>
      <c r="G135" s="12">
        <v>0</v>
      </c>
      <c r="H135" s="5" t="s">
        <v>32</v>
      </c>
      <c r="I135" s="5" t="s">
        <v>151</v>
      </c>
      <c r="J135" s="12">
        <v>40</v>
      </c>
      <c r="K135" s="12">
        <v>30</v>
      </c>
      <c r="L135" s="12">
        <v>2</v>
      </c>
      <c r="M135" s="13">
        <f t="shared" si="9"/>
        <v>0</v>
      </c>
    </row>
    <row r="136" ht="28" customHeight="1" spans="1:13">
      <c r="A136" s="11" t="s">
        <v>161</v>
      </c>
      <c r="B136" s="12">
        <v>99</v>
      </c>
      <c r="C136" s="13">
        <f t="shared" si="8"/>
        <v>0.99</v>
      </c>
      <c r="D136" s="12">
        <v>1</v>
      </c>
      <c r="E136" s="12">
        <v>0</v>
      </c>
      <c r="F136" s="12">
        <v>0</v>
      </c>
      <c r="G136" s="12">
        <v>1</v>
      </c>
      <c r="H136" s="5" t="s">
        <v>32</v>
      </c>
      <c r="I136" s="5" t="s">
        <v>59</v>
      </c>
      <c r="J136" s="12">
        <v>40</v>
      </c>
      <c r="K136" s="12">
        <v>31</v>
      </c>
      <c r="L136" s="12">
        <v>2</v>
      </c>
      <c r="M136" s="13">
        <f t="shared" si="9"/>
        <v>0.01</v>
      </c>
    </row>
    <row r="137" ht="28" customHeight="1" spans="1:13">
      <c r="A137" s="11" t="s">
        <v>162</v>
      </c>
      <c r="B137" s="12">
        <v>98</v>
      </c>
      <c r="C137" s="13">
        <f t="shared" si="8"/>
        <v>0.98</v>
      </c>
      <c r="D137" s="12">
        <v>1</v>
      </c>
      <c r="E137" s="12">
        <v>1</v>
      </c>
      <c r="F137" s="12">
        <v>0</v>
      </c>
      <c r="G137" s="12">
        <v>0</v>
      </c>
      <c r="H137" s="5" t="s">
        <v>32</v>
      </c>
      <c r="I137" s="5" t="s">
        <v>59</v>
      </c>
      <c r="J137" s="12">
        <v>40</v>
      </c>
      <c r="K137" s="12">
        <v>32</v>
      </c>
      <c r="L137" s="12">
        <v>2</v>
      </c>
      <c r="M137" s="13">
        <f t="shared" si="9"/>
        <v>0.02</v>
      </c>
    </row>
    <row r="138" ht="28" customHeight="1" spans="1:13">
      <c r="A138" s="11" t="s">
        <v>163</v>
      </c>
      <c r="B138" s="12">
        <v>0</v>
      </c>
      <c r="C138" s="13">
        <f t="shared" ref="C138:C201" si="10">B138/100</f>
        <v>0</v>
      </c>
      <c r="D138" s="12">
        <v>0</v>
      </c>
      <c r="E138" s="12">
        <v>100</v>
      </c>
      <c r="F138" s="12">
        <v>0</v>
      </c>
      <c r="G138" s="12">
        <v>0</v>
      </c>
      <c r="H138" s="5" t="s">
        <v>32</v>
      </c>
      <c r="I138" s="5" t="s">
        <v>33</v>
      </c>
      <c r="J138" s="12">
        <v>48</v>
      </c>
      <c r="K138" s="12">
        <v>1</v>
      </c>
      <c r="L138" s="12">
        <v>2</v>
      </c>
      <c r="M138" s="13">
        <f t="shared" ref="M138:M201" si="11">(D138+E138+F138)/100</f>
        <v>1</v>
      </c>
    </row>
    <row r="139" ht="28" customHeight="1" spans="1:13">
      <c r="A139" s="11" t="s">
        <v>164</v>
      </c>
      <c r="B139" s="12">
        <v>0</v>
      </c>
      <c r="C139" s="13">
        <f t="shared" si="10"/>
        <v>0</v>
      </c>
      <c r="D139" s="12">
        <v>0</v>
      </c>
      <c r="E139" s="12">
        <v>100</v>
      </c>
      <c r="F139" s="12">
        <v>0</v>
      </c>
      <c r="G139" s="12">
        <v>0</v>
      </c>
      <c r="H139" s="5" t="s">
        <v>32</v>
      </c>
      <c r="I139" s="5" t="s">
        <v>33</v>
      </c>
      <c r="J139" s="12">
        <v>48</v>
      </c>
      <c r="K139" s="12">
        <v>2</v>
      </c>
      <c r="L139" s="12">
        <v>2</v>
      </c>
      <c r="M139" s="13">
        <f t="shared" si="11"/>
        <v>1</v>
      </c>
    </row>
    <row r="140" ht="28" customHeight="1" spans="1:13">
      <c r="A140" s="11" t="s">
        <v>165</v>
      </c>
      <c r="B140" s="12">
        <v>0</v>
      </c>
      <c r="C140" s="13">
        <f t="shared" si="10"/>
        <v>0</v>
      </c>
      <c r="D140" s="12">
        <v>0</v>
      </c>
      <c r="E140" s="12">
        <v>100</v>
      </c>
      <c r="F140" s="12">
        <v>0</v>
      </c>
      <c r="G140" s="12">
        <v>0</v>
      </c>
      <c r="H140" s="5" t="s">
        <v>32</v>
      </c>
      <c r="I140" s="5" t="s">
        <v>33</v>
      </c>
      <c r="J140" s="12">
        <v>48</v>
      </c>
      <c r="K140" s="12">
        <v>3</v>
      </c>
      <c r="L140" s="12">
        <v>2</v>
      </c>
      <c r="M140" s="13">
        <f t="shared" si="11"/>
        <v>1</v>
      </c>
    </row>
    <row r="141" ht="28" customHeight="1" spans="1:13">
      <c r="A141" s="11" t="s">
        <v>166</v>
      </c>
      <c r="B141" s="12">
        <v>77</v>
      </c>
      <c r="C141" s="13">
        <f t="shared" si="10"/>
        <v>0.77</v>
      </c>
      <c r="D141" s="12">
        <v>19</v>
      </c>
      <c r="E141" s="12">
        <v>4</v>
      </c>
      <c r="F141" s="12">
        <v>2</v>
      </c>
      <c r="G141" s="12">
        <v>10</v>
      </c>
      <c r="H141" s="5" t="s">
        <v>32</v>
      </c>
      <c r="I141" s="5" t="s">
        <v>59</v>
      </c>
      <c r="J141" s="12">
        <v>48</v>
      </c>
      <c r="K141" s="12">
        <v>4</v>
      </c>
      <c r="L141" s="12">
        <v>2</v>
      </c>
      <c r="M141" s="13">
        <f t="shared" si="11"/>
        <v>0.25</v>
      </c>
    </row>
    <row r="142" ht="28" customHeight="1" spans="1:13">
      <c r="A142" s="11" t="s">
        <v>167</v>
      </c>
      <c r="B142" s="12">
        <v>92</v>
      </c>
      <c r="C142" s="13">
        <f t="shared" si="10"/>
        <v>0.92</v>
      </c>
      <c r="D142" s="12">
        <v>7</v>
      </c>
      <c r="E142" s="12">
        <v>1</v>
      </c>
      <c r="F142" s="12">
        <v>1</v>
      </c>
      <c r="G142" s="12">
        <v>0</v>
      </c>
      <c r="H142" s="5" t="s">
        <v>32</v>
      </c>
      <c r="I142" s="5" t="s">
        <v>59</v>
      </c>
      <c r="J142" s="12">
        <v>48</v>
      </c>
      <c r="K142" s="12">
        <v>5</v>
      </c>
      <c r="L142" s="12">
        <v>2</v>
      </c>
      <c r="M142" s="13">
        <f t="shared" si="11"/>
        <v>0.09</v>
      </c>
    </row>
    <row r="143" ht="28" customHeight="1" spans="1:13">
      <c r="A143" s="11" t="s">
        <v>168</v>
      </c>
      <c r="B143" s="12">
        <v>96</v>
      </c>
      <c r="C143" s="13">
        <f t="shared" si="10"/>
        <v>0.96</v>
      </c>
      <c r="D143" s="12">
        <v>2</v>
      </c>
      <c r="E143" s="12">
        <v>2</v>
      </c>
      <c r="F143" s="12">
        <v>2</v>
      </c>
      <c r="G143" s="12">
        <v>0</v>
      </c>
      <c r="H143" s="5" t="s">
        <v>32</v>
      </c>
      <c r="I143" s="5" t="s">
        <v>59</v>
      </c>
      <c r="J143" s="12">
        <v>48</v>
      </c>
      <c r="K143" s="12">
        <v>6</v>
      </c>
      <c r="L143" s="12">
        <v>2</v>
      </c>
      <c r="M143" s="13">
        <f t="shared" si="11"/>
        <v>0.06</v>
      </c>
    </row>
    <row r="144" ht="28" customHeight="1" spans="1:13">
      <c r="A144" s="11" t="s">
        <v>169</v>
      </c>
      <c r="B144" s="12">
        <v>95</v>
      </c>
      <c r="C144" s="13">
        <f t="shared" si="10"/>
        <v>0.95</v>
      </c>
      <c r="D144" s="12">
        <v>4</v>
      </c>
      <c r="E144" s="12">
        <v>1</v>
      </c>
      <c r="F144" s="12">
        <v>2</v>
      </c>
      <c r="G144" s="12">
        <v>0</v>
      </c>
      <c r="H144" s="5" t="s">
        <v>32</v>
      </c>
      <c r="I144" s="5" t="s">
        <v>59</v>
      </c>
      <c r="J144" s="12">
        <v>48</v>
      </c>
      <c r="K144" s="12">
        <v>7</v>
      </c>
      <c r="L144" s="12">
        <v>2</v>
      </c>
      <c r="M144" s="13">
        <f t="shared" si="11"/>
        <v>0.07</v>
      </c>
    </row>
    <row r="145" ht="28" customHeight="1" spans="1:13">
      <c r="A145" s="11" t="s">
        <v>170</v>
      </c>
      <c r="B145" s="12">
        <v>96</v>
      </c>
      <c r="C145" s="13">
        <f t="shared" si="10"/>
        <v>0.96</v>
      </c>
      <c r="D145" s="12">
        <v>3</v>
      </c>
      <c r="E145" s="12">
        <v>1</v>
      </c>
      <c r="F145" s="12">
        <v>1</v>
      </c>
      <c r="G145" s="12">
        <v>0</v>
      </c>
      <c r="H145" s="5" t="s">
        <v>32</v>
      </c>
      <c r="I145" s="5" t="s">
        <v>59</v>
      </c>
      <c r="J145" s="12">
        <v>48</v>
      </c>
      <c r="K145" s="12">
        <v>8</v>
      </c>
      <c r="L145" s="12">
        <v>2</v>
      </c>
      <c r="M145" s="13">
        <f t="shared" si="11"/>
        <v>0.05</v>
      </c>
    </row>
    <row r="146" ht="28" customHeight="1" spans="1:13">
      <c r="A146" s="11" t="s">
        <v>171</v>
      </c>
      <c r="B146" s="12">
        <v>99</v>
      </c>
      <c r="C146" s="13">
        <f t="shared" si="10"/>
        <v>0.99</v>
      </c>
      <c r="D146" s="12">
        <v>1</v>
      </c>
      <c r="E146" s="12">
        <v>0</v>
      </c>
      <c r="F146" s="12">
        <v>0</v>
      </c>
      <c r="G146" s="12">
        <v>0</v>
      </c>
      <c r="H146" s="5" t="s">
        <v>32</v>
      </c>
      <c r="I146" s="5" t="s">
        <v>59</v>
      </c>
      <c r="J146" s="12">
        <v>48</v>
      </c>
      <c r="K146" s="12">
        <v>9</v>
      </c>
      <c r="L146" s="12">
        <v>2</v>
      </c>
      <c r="M146" s="13">
        <f t="shared" si="11"/>
        <v>0.01</v>
      </c>
    </row>
    <row r="147" ht="28" customHeight="1" spans="1:13">
      <c r="A147" s="11" t="s">
        <v>172</v>
      </c>
      <c r="B147" s="12">
        <v>98</v>
      </c>
      <c r="C147" s="13">
        <f t="shared" si="10"/>
        <v>0.98</v>
      </c>
      <c r="D147" s="12">
        <v>1</v>
      </c>
      <c r="E147" s="12">
        <v>1</v>
      </c>
      <c r="F147" s="12">
        <v>0</v>
      </c>
      <c r="G147" s="12">
        <v>0</v>
      </c>
      <c r="H147" s="5" t="s">
        <v>32</v>
      </c>
      <c r="I147" s="5" t="s">
        <v>59</v>
      </c>
      <c r="J147" s="12">
        <v>48</v>
      </c>
      <c r="K147" s="12">
        <v>10</v>
      </c>
      <c r="L147" s="12">
        <v>2</v>
      </c>
      <c r="M147" s="13">
        <f t="shared" si="11"/>
        <v>0.02</v>
      </c>
    </row>
    <row r="148" ht="28" customHeight="1" spans="1:13">
      <c r="A148" s="11" t="s">
        <v>173</v>
      </c>
      <c r="B148" s="12">
        <v>98</v>
      </c>
      <c r="C148" s="13">
        <f t="shared" si="10"/>
        <v>0.98</v>
      </c>
      <c r="D148" s="12">
        <v>0</v>
      </c>
      <c r="E148" s="12">
        <v>2</v>
      </c>
      <c r="F148" s="12">
        <v>2</v>
      </c>
      <c r="G148" s="12">
        <v>0</v>
      </c>
      <c r="H148" s="5" t="s">
        <v>32</v>
      </c>
      <c r="I148" s="5" t="s">
        <v>59</v>
      </c>
      <c r="J148" s="12">
        <v>48</v>
      </c>
      <c r="K148" s="12">
        <v>11</v>
      </c>
      <c r="L148" s="12">
        <v>2</v>
      </c>
      <c r="M148" s="13">
        <f t="shared" si="11"/>
        <v>0.04</v>
      </c>
    </row>
    <row r="149" ht="28" customHeight="1" spans="1:13">
      <c r="A149" s="11" t="s">
        <v>174</v>
      </c>
      <c r="B149" s="12">
        <v>98</v>
      </c>
      <c r="C149" s="13">
        <f t="shared" si="10"/>
        <v>0.98</v>
      </c>
      <c r="D149" s="12">
        <v>2</v>
      </c>
      <c r="E149" s="12">
        <v>0</v>
      </c>
      <c r="F149" s="12">
        <v>0</v>
      </c>
      <c r="G149" s="12">
        <v>0</v>
      </c>
      <c r="H149" s="5" t="s">
        <v>32</v>
      </c>
      <c r="I149" s="5" t="s">
        <v>59</v>
      </c>
      <c r="J149" s="12">
        <v>48</v>
      </c>
      <c r="K149" s="12">
        <v>12</v>
      </c>
      <c r="L149" s="12">
        <v>2</v>
      </c>
      <c r="M149" s="13">
        <f t="shared" si="11"/>
        <v>0.02</v>
      </c>
    </row>
    <row r="150" ht="28" customHeight="1" spans="1:13">
      <c r="A150" s="11" t="s">
        <v>175</v>
      </c>
      <c r="B150" s="12">
        <v>99</v>
      </c>
      <c r="C150" s="13">
        <f t="shared" si="10"/>
        <v>0.99</v>
      </c>
      <c r="D150" s="12">
        <v>1</v>
      </c>
      <c r="E150" s="12">
        <v>0</v>
      </c>
      <c r="F150" s="12">
        <v>1</v>
      </c>
      <c r="G150" s="12">
        <v>0</v>
      </c>
      <c r="H150" s="5" t="s">
        <v>32</v>
      </c>
      <c r="I150" s="5" t="s">
        <v>59</v>
      </c>
      <c r="J150" s="12">
        <v>48</v>
      </c>
      <c r="K150" s="12">
        <v>13</v>
      </c>
      <c r="L150" s="12">
        <v>2</v>
      </c>
      <c r="M150" s="13">
        <f t="shared" si="11"/>
        <v>0.02</v>
      </c>
    </row>
    <row r="151" ht="28" customHeight="1" spans="1:13">
      <c r="A151" s="11" t="s">
        <v>176</v>
      </c>
      <c r="B151" s="12">
        <v>99</v>
      </c>
      <c r="C151" s="13">
        <f t="shared" si="10"/>
        <v>0.99</v>
      </c>
      <c r="D151" s="12">
        <v>0</v>
      </c>
      <c r="E151" s="12">
        <v>1</v>
      </c>
      <c r="F151" s="12">
        <v>1</v>
      </c>
      <c r="G151" s="12">
        <v>0</v>
      </c>
      <c r="H151" s="5" t="s">
        <v>32</v>
      </c>
      <c r="I151" s="5" t="s">
        <v>59</v>
      </c>
      <c r="J151" s="12">
        <v>48</v>
      </c>
      <c r="K151" s="12">
        <v>14</v>
      </c>
      <c r="L151" s="12">
        <v>2</v>
      </c>
      <c r="M151" s="13">
        <f t="shared" si="11"/>
        <v>0.02</v>
      </c>
    </row>
    <row r="152" ht="28" customHeight="1" spans="1:13">
      <c r="A152" s="11" t="s">
        <v>177</v>
      </c>
      <c r="B152" s="12">
        <v>99</v>
      </c>
      <c r="C152" s="13">
        <f t="shared" si="10"/>
        <v>0.99</v>
      </c>
      <c r="D152" s="12">
        <v>0</v>
      </c>
      <c r="E152" s="12">
        <v>1</v>
      </c>
      <c r="F152" s="12">
        <v>0</v>
      </c>
      <c r="G152" s="12">
        <v>0</v>
      </c>
      <c r="H152" s="5" t="s">
        <v>32</v>
      </c>
      <c r="I152" s="5" t="s">
        <v>59</v>
      </c>
      <c r="J152" s="12">
        <v>48</v>
      </c>
      <c r="K152" s="12">
        <v>15</v>
      </c>
      <c r="L152" s="12">
        <v>2</v>
      </c>
      <c r="M152" s="13">
        <f t="shared" si="11"/>
        <v>0.01</v>
      </c>
    </row>
    <row r="153" ht="28" customHeight="1" spans="1:13">
      <c r="A153" s="11" t="s">
        <v>178</v>
      </c>
      <c r="B153" s="12">
        <v>100</v>
      </c>
      <c r="C153" s="13">
        <f t="shared" si="10"/>
        <v>1</v>
      </c>
      <c r="D153" s="12">
        <v>0</v>
      </c>
      <c r="E153" s="12">
        <v>0</v>
      </c>
      <c r="F153" s="12">
        <v>0</v>
      </c>
      <c r="G153" s="12">
        <v>0</v>
      </c>
      <c r="H153" s="5" t="s">
        <v>32</v>
      </c>
      <c r="I153" s="5" t="s">
        <v>151</v>
      </c>
      <c r="J153" s="12">
        <v>48</v>
      </c>
      <c r="K153" s="12">
        <v>16</v>
      </c>
      <c r="L153" s="12">
        <v>2</v>
      </c>
      <c r="M153" s="13">
        <f t="shared" si="11"/>
        <v>0</v>
      </c>
    </row>
    <row r="154" ht="28" customHeight="1" spans="1:13">
      <c r="A154" s="11" t="s">
        <v>179</v>
      </c>
      <c r="B154" s="12">
        <v>100</v>
      </c>
      <c r="C154" s="13">
        <f t="shared" si="10"/>
        <v>1</v>
      </c>
      <c r="D154" s="12">
        <v>0</v>
      </c>
      <c r="E154" s="12">
        <v>0</v>
      </c>
      <c r="F154" s="12">
        <v>0</v>
      </c>
      <c r="G154" s="12">
        <v>0</v>
      </c>
      <c r="H154" s="5" t="s">
        <v>32</v>
      </c>
      <c r="I154" s="5" t="s">
        <v>151</v>
      </c>
      <c r="J154" s="12">
        <v>48</v>
      </c>
      <c r="K154" s="12">
        <v>17</v>
      </c>
      <c r="L154" s="12">
        <v>2</v>
      </c>
      <c r="M154" s="13">
        <f t="shared" si="11"/>
        <v>0</v>
      </c>
    </row>
    <row r="155" ht="28" customHeight="1" spans="1:13">
      <c r="A155" s="11" t="s">
        <v>180</v>
      </c>
      <c r="B155" s="12">
        <v>99</v>
      </c>
      <c r="C155" s="13">
        <f t="shared" si="10"/>
        <v>0.99</v>
      </c>
      <c r="D155" s="12">
        <v>0</v>
      </c>
      <c r="E155" s="12">
        <v>1</v>
      </c>
      <c r="F155" s="12">
        <v>0</v>
      </c>
      <c r="G155" s="12">
        <v>0</v>
      </c>
      <c r="H155" s="5" t="s">
        <v>32</v>
      </c>
      <c r="I155" s="5" t="s">
        <v>59</v>
      </c>
      <c r="J155" s="12">
        <v>48</v>
      </c>
      <c r="K155" s="12">
        <v>18</v>
      </c>
      <c r="L155" s="12">
        <v>2</v>
      </c>
      <c r="M155" s="13">
        <f t="shared" si="11"/>
        <v>0.01</v>
      </c>
    </row>
    <row r="156" ht="28" customHeight="1" spans="1:13">
      <c r="A156" s="11" t="s">
        <v>181</v>
      </c>
      <c r="B156" s="12">
        <v>100</v>
      </c>
      <c r="C156" s="13">
        <f t="shared" si="10"/>
        <v>1</v>
      </c>
      <c r="D156" s="12">
        <v>0</v>
      </c>
      <c r="E156" s="12">
        <v>0</v>
      </c>
      <c r="F156" s="12">
        <v>0</v>
      </c>
      <c r="G156" s="12">
        <v>0</v>
      </c>
      <c r="H156" s="5" t="s">
        <v>32</v>
      </c>
      <c r="I156" s="5" t="s">
        <v>151</v>
      </c>
      <c r="J156" s="12">
        <v>48</v>
      </c>
      <c r="K156" s="12">
        <v>19</v>
      </c>
      <c r="L156" s="12">
        <v>2</v>
      </c>
      <c r="M156" s="13">
        <f t="shared" si="11"/>
        <v>0</v>
      </c>
    </row>
    <row r="157" ht="28" customHeight="1" spans="1:13">
      <c r="A157" s="11" t="s">
        <v>182</v>
      </c>
      <c r="B157" s="12">
        <v>100</v>
      </c>
      <c r="C157" s="13">
        <f t="shared" si="10"/>
        <v>1</v>
      </c>
      <c r="D157" s="12">
        <v>0</v>
      </c>
      <c r="E157" s="12">
        <v>0</v>
      </c>
      <c r="F157" s="12">
        <v>0</v>
      </c>
      <c r="G157" s="12">
        <v>0</v>
      </c>
      <c r="H157" s="5" t="s">
        <v>32</v>
      </c>
      <c r="I157" s="5" t="s">
        <v>151</v>
      </c>
      <c r="J157" s="12">
        <v>48</v>
      </c>
      <c r="K157" s="12">
        <v>20</v>
      </c>
      <c r="L157" s="12">
        <v>2</v>
      </c>
      <c r="M157" s="13">
        <f t="shared" si="11"/>
        <v>0</v>
      </c>
    </row>
    <row r="158" ht="28" customHeight="1" spans="1:13">
      <c r="A158" s="11" t="s">
        <v>183</v>
      </c>
      <c r="B158" s="12">
        <v>100</v>
      </c>
      <c r="C158" s="13">
        <f t="shared" si="10"/>
        <v>1</v>
      </c>
      <c r="D158" s="12">
        <v>0</v>
      </c>
      <c r="E158" s="12">
        <v>0</v>
      </c>
      <c r="F158" s="12">
        <v>0</v>
      </c>
      <c r="G158" s="12">
        <v>0</v>
      </c>
      <c r="H158" s="5" t="s">
        <v>32</v>
      </c>
      <c r="I158" s="5" t="s">
        <v>151</v>
      </c>
      <c r="J158" s="12">
        <v>48</v>
      </c>
      <c r="K158" s="12">
        <v>21</v>
      </c>
      <c r="L158" s="12">
        <v>2</v>
      </c>
      <c r="M158" s="13">
        <f t="shared" si="11"/>
        <v>0</v>
      </c>
    </row>
    <row r="159" ht="28" customHeight="1" spans="1:13">
      <c r="A159" s="11" t="s">
        <v>184</v>
      </c>
      <c r="B159" s="12">
        <v>100</v>
      </c>
      <c r="C159" s="13">
        <f t="shared" si="10"/>
        <v>1</v>
      </c>
      <c r="D159" s="12">
        <v>0</v>
      </c>
      <c r="E159" s="12">
        <v>0</v>
      </c>
      <c r="F159" s="12">
        <v>1</v>
      </c>
      <c r="G159" s="12">
        <v>0</v>
      </c>
      <c r="H159" s="5" t="s">
        <v>32</v>
      </c>
      <c r="I159" s="5" t="s">
        <v>59</v>
      </c>
      <c r="J159" s="12">
        <v>48</v>
      </c>
      <c r="K159" s="12">
        <v>22</v>
      </c>
      <c r="L159" s="12">
        <v>2</v>
      </c>
      <c r="M159" s="13">
        <f t="shared" si="11"/>
        <v>0.01</v>
      </c>
    </row>
    <row r="160" ht="28" customHeight="1" spans="1:13">
      <c r="A160" s="11" t="s">
        <v>185</v>
      </c>
      <c r="B160" s="12">
        <v>99</v>
      </c>
      <c r="C160" s="13">
        <f t="shared" si="10"/>
        <v>0.99</v>
      </c>
      <c r="D160" s="12">
        <v>1</v>
      </c>
      <c r="E160" s="12">
        <v>0</v>
      </c>
      <c r="F160" s="12">
        <v>0</v>
      </c>
      <c r="G160" s="12">
        <v>0</v>
      </c>
      <c r="H160" s="5" t="s">
        <v>32</v>
      </c>
      <c r="I160" s="5" t="s">
        <v>59</v>
      </c>
      <c r="J160" s="12">
        <v>48</v>
      </c>
      <c r="K160" s="12">
        <v>23</v>
      </c>
      <c r="L160" s="12">
        <v>2</v>
      </c>
      <c r="M160" s="13">
        <f t="shared" si="11"/>
        <v>0.01</v>
      </c>
    </row>
    <row r="161" ht="28" customHeight="1" spans="1:13">
      <c r="A161" s="11" t="s">
        <v>186</v>
      </c>
      <c r="B161" s="12">
        <v>100</v>
      </c>
      <c r="C161" s="13">
        <f t="shared" si="10"/>
        <v>1</v>
      </c>
      <c r="D161" s="12">
        <v>0</v>
      </c>
      <c r="E161" s="12">
        <v>0</v>
      </c>
      <c r="F161" s="12">
        <v>1</v>
      </c>
      <c r="G161" s="12">
        <v>0</v>
      </c>
      <c r="H161" s="5" t="s">
        <v>32</v>
      </c>
      <c r="I161" s="5" t="s">
        <v>59</v>
      </c>
      <c r="J161" s="12">
        <v>48</v>
      </c>
      <c r="K161" s="12">
        <v>24</v>
      </c>
      <c r="L161" s="12">
        <v>2</v>
      </c>
      <c r="M161" s="13">
        <f t="shared" si="11"/>
        <v>0.01</v>
      </c>
    </row>
    <row r="162" ht="28" customHeight="1" spans="1:13">
      <c r="A162" s="11" t="s">
        <v>187</v>
      </c>
      <c r="B162" s="12">
        <v>99</v>
      </c>
      <c r="C162" s="13">
        <f t="shared" si="10"/>
        <v>0.99</v>
      </c>
      <c r="D162" s="12">
        <v>0</v>
      </c>
      <c r="E162" s="12">
        <v>1</v>
      </c>
      <c r="F162" s="12">
        <v>0</v>
      </c>
      <c r="G162" s="12">
        <v>0</v>
      </c>
      <c r="H162" s="5" t="s">
        <v>32</v>
      </c>
      <c r="I162" s="5" t="s">
        <v>59</v>
      </c>
      <c r="J162" s="12">
        <v>48</v>
      </c>
      <c r="K162" s="12">
        <v>25</v>
      </c>
      <c r="L162" s="12">
        <v>2</v>
      </c>
      <c r="M162" s="13">
        <f t="shared" si="11"/>
        <v>0.01</v>
      </c>
    </row>
    <row r="163" ht="28" customHeight="1" spans="1:13">
      <c r="A163" s="11" t="s">
        <v>188</v>
      </c>
      <c r="B163" s="12">
        <v>99</v>
      </c>
      <c r="C163" s="13">
        <f t="shared" si="10"/>
        <v>0.99</v>
      </c>
      <c r="D163" s="12">
        <v>0</v>
      </c>
      <c r="E163" s="12">
        <v>1</v>
      </c>
      <c r="F163" s="12">
        <v>1</v>
      </c>
      <c r="G163" s="12">
        <v>0</v>
      </c>
      <c r="H163" s="5" t="s">
        <v>32</v>
      </c>
      <c r="I163" s="5" t="s">
        <v>59</v>
      </c>
      <c r="J163" s="12">
        <v>48</v>
      </c>
      <c r="K163" s="12">
        <v>26</v>
      </c>
      <c r="L163" s="12">
        <v>2</v>
      </c>
      <c r="M163" s="13">
        <f t="shared" si="11"/>
        <v>0.02</v>
      </c>
    </row>
    <row r="164" ht="28" customHeight="1" spans="1:13">
      <c r="A164" s="11" t="s">
        <v>189</v>
      </c>
      <c r="B164" s="12">
        <v>100</v>
      </c>
      <c r="C164" s="13">
        <f t="shared" si="10"/>
        <v>1</v>
      </c>
      <c r="D164" s="12">
        <v>0</v>
      </c>
      <c r="E164" s="12">
        <v>0</v>
      </c>
      <c r="F164" s="12">
        <v>0</v>
      </c>
      <c r="G164" s="12">
        <v>0</v>
      </c>
      <c r="H164" s="5" t="s">
        <v>32</v>
      </c>
      <c r="I164" s="5" t="s">
        <v>151</v>
      </c>
      <c r="J164" s="12">
        <v>48</v>
      </c>
      <c r="K164" s="12">
        <v>27</v>
      </c>
      <c r="L164" s="12">
        <v>2</v>
      </c>
      <c r="M164" s="13">
        <f t="shared" si="11"/>
        <v>0</v>
      </c>
    </row>
    <row r="165" ht="28" customHeight="1" spans="1:13">
      <c r="A165" s="11" t="s">
        <v>190</v>
      </c>
      <c r="B165" s="12">
        <v>100</v>
      </c>
      <c r="C165" s="13">
        <f t="shared" si="10"/>
        <v>1</v>
      </c>
      <c r="D165" s="12">
        <v>0</v>
      </c>
      <c r="E165" s="12">
        <v>0</v>
      </c>
      <c r="F165" s="12">
        <v>0</v>
      </c>
      <c r="G165" s="12">
        <v>0</v>
      </c>
      <c r="H165" s="5" t="s">
        <v>32</v>
      </c>
      <c r="I165" s="5" t="s">
        <v>151</v>
      </c>
      <c r="J165" s="12">
        <v>48</v>
      </c>
      <c r="K165" s="12">
        <v>28</v>
      </c>
      <c r="L165" s="12">
        <v>2</v>
      </c>
      <c r="M165" s="13">
        <f t="shared" si="11"/>
        <v>0</v>
      </c>
    </row>
    <row r="166" ht="28" customHeight="1" spans="1:13">
      <c r="A166" s="11" t="s">
        <v>191</v>
      </c>
      <c r="B166" s="12">
        <v>100</v>
      </c>
      <c r="C166" s="13">
        <f t="shared" si="10"/>
        <v>1</v>
      </c>
      <c r="D166" s="12">
        <v>0</v>
      </c>
      <c r="E166" s="12">
        <v>0</v>
      </c>
      <c r="F166" s="12">
        <v>1</v>
      </c>
      <c r="G166" s="12">
        <v>0</v>
      </c>
      <c r="H166" s="5" t="s">
        <v>32</v>
      </c>
      <c r="I166" s="5" t="s">
        <v>59</v>
      </c>
      <c r="J166" s="12">
        <v>48</v>
      </c>
      <c r="K166" s="12">
        <v>29</v>
      </c>
      <c r="L166" s="12">
        <v>2</v>
      </c>
      <c r="M166" s="13">
        <f t="shared" si="11"/>
        <v>0.01</v>
      </c>
    </row>
    <row r="167" ht="28" customHeight="1" spans="1:13">
      <c r="A167" s="11" t="s">
        <v>192</v>
      </c>
      <c r="B167" s="12">
        <v>100</v>
      </c>
      <c r="C167" s="13">
        <f t="shared" si="10"/>
        <v>1</v>
      </c>
      <c r="D167" s="12">
        <v>0</v>
      </c>
      <c r="E167" s="12">
        <v>0</v>
      </c>
      <c r="F167" s="12">
        <v>0</v>
      </c>
      <c r="G167" s="12">
        <v>0</v>
      </c>
      <c r="H167" s="5" t="s">
        <v>32</v>
      </c>
      <c r="I167" s="5" t="s">
        <v>151</v>
      </c>
      <c r="J167" s="12">
        <v>48</v>
      </c>
      <c r="K167" s="12">
        <v>30</v>
      </c>
      <c r="L167" s="12">
        <v>2</v>
      </c>
      <c r="M167" s="13">
        <f t="shared" si="11"/>
        <v>0</v>
      </c>
    </row>
    <row r="168" ht="28" customHeight="1" spans="1:13">
      <c r="A168" s="11" t="s">
        <v>193</v>
      </c>
      <c r="B168" s="12">
        <v>100</v>
      </c>
      <c r="C168" s="13">
        <f t="shared" si="10"/>
        <v>1</v>
      </c>
      <c r="D168" s="12">
        <v>0</v>
      </c>
      <c r="E168" s="12">
        <v>0</v>
      </c>
      <c r="F168" s="12">
        <v>1</v>
      </c>
      <c r="G168" s="12">
        <v>0</v>
      </c>
      <c r="H168" s="5" t="s">
        <v>32</v>
      </c>
      <c r="I168" s="5" t="s">
        <v>59</v>
      </c>
      <c r="J168" s="12">
        <v>48</v>
      </c>
      <c r="K168" s="12">
        <v>31</v>
      </c>
      <c r="L168" s="12">
        <v>2</v>
      </c>
      <c r="M168" s="13">
        <f t="shared" si="11"/>
        <v>0.01</v>
      </c>
    </row>
    <row r="169" ht="28" customHeight="1" spans="1:13">
      <c r="A169" s="11" t="s">
        <v>194</v>
      </c>
      <c r="B169" s="12">
        <v>99</v>
      </c>
      <c r="C169" s="13">
        <f t="shared" si="10"/>
        <v>0.99</v>
      </c>
      <c r="D169" s="12">
        <v>1</v>
      </c>
      <c r="E169" s="12">
        <v>0</v>
      </c>
      <c r="F169" s="12">
        <v>0</v>
      </c>
      <c r="G169" s="12">
        <v>0</v>
      </c>
      <c r="H169" s="5" t="s">
        <v>32</v>
      </c>
      <c r="I169" s="5" t="s">
        <v>59</v>
      </c>
      <c r="J169" s="12">
        <v>48</v>
      </c>
      <c r="K169" s="12">
        <v>32</v>
      </c>
      <c r="L169" s="12">
        <v>2</v>
      </c>
      <c r="M169" s="13">
        <f t="shared" si="11"/>
        <v>0.01</v>
      </c>
    </row>
    <row r="170" ht="28" customHeight="1" spans="1:13">
      <c r="A170" s="11" t="s">
        <v>195</v>
      </c>
      <c r="B170" s="12">
        <v>0</v>
      </c>
      <c r="C170" s="13">
        <f t="shared" si="10"/>
        <v>0</v>
      </c>
      <c r="D170" s="12">
        <v>0</v>
      </c>
      <c r="E170" s="12">
        <v>100</v>
      </c>
      <c r="F170" s="12">
        <v>0</v>
      </c>
      <c r="G170" s="12">
        <v>0</v>
      </c>
      <c r="H170" s="5" t="s">
        <v>32</v>
      </c>
      <c r="I170" s="5" t="s">
        <v>33</v>
      </c>
      <c r="J170" s="12">
        <v>64</v>
      </c>
      <c r="K170" s="12">
        <v>1</v>
      </c>
      <c r="L170" s="12">
        <v>2</v>
      </c>
      <c r="M170" s="13">
        <f t="shared" si="11"/>
        <v>1</v>
      </c>
    </row>
    <row r="171" ht="28" customHeight="1" spans="1:13">
      <c r="A171" s="11" t="s">
        <v>196</v>
      </c>
      <c r="B171" s="12">
        <v>0</v>
      </c>
      <c r="C171" s="13">
        <f t="shared" si="10"/>
        <v>0</v>
      </c>
      <c r="D171" s="12">
        <v>0</v>
      </c>
      <c r="E171" s="12">
        <v>100</v>
      </c>
      <c r="F171" s="12">
        <v>0</v>
      </c>
      <c r="G171" s="12">
        <v>0</v>
      </c>
      <c r="H171" s="5" t="s">
        <v>32</v>
      </c>
      <c r="I171" s="5" t="s">
        <v>33</v>
      </c>
      <c r="J171" s="12">
        <v>64</v>
      </c>
      <c r="K171" s="12">
        <v>2</v>
      </c>
      <c r="L171" s="12">
        <v>2</v>
      </c>
      <c r="M171" s="13">
        <f t="shared" si="11"/>
        <v>1</v>
      </c>
    </row>
    <row r="172" ht="28" customHeight="1" spans="1:13">
      <c r="A172" s="11" t="s">
        <v>197</v>
      </c>
      <c r="B172" s="12">
        <v>78</v>
      </c>
      <c r="C172" s="13">
        <f t="shared" si="10"/>
        <v>0.78</v>
      </c>
      <c r="D172" s="12">
        <v>20</v>
      </c>
      <c r="E172" s="12">
        <v>2</v>
      </c>
      <c r="F172" s="12">
        <v>4</v>
      </c>
      <c r="G172" s="12">
        <v>8</v>
      </c>
      <c r="H172" s="5" t="s">
        <v>32</v>
      </c>
      <c r="I172" s="5" t="s">
        <v>59</v>
      </c>
      <c r="J172" s="12">
        <v>64</v>
      </c>
      <c r="K172" s="12">
        <v>3</v>
      </c>
      <c r="L172" s="12">
        <v>2</v>
      </c>
      <c r="M172" s="13">
        <f t="shared" si="11"/>
        <v>0.26</v>
      </c>
    </row>
    <row r="173" ht="28" customHeight="1" spans="1:13">
      <c r="A173" s="11" t="s">
        <v>198</v>
      </c>
      <c r="B173" s="12">
        <v>85</v>
      </c>
      <c r="C173" s="13">
        <f t="shared" si="10"/>
        <v>0.85</v>
      </c>
      <c r="D173" s="12">
        <v>12</v>
      </c>
      <c r="E173" s="12">
        <v>3</v>
      </c>
      <c r="F173" s="12">
        <v>5</v>
      </c>
      <c r="G173" s="12">
        <v>3</v>
      </c>
      <c r="H173" s="5" t="s">
        <v>32</v>
      </c>
      <c r="I173" s="5" t="s">
        <v>59</v>
      </c>
      <c r="J173" s="12">
        <v>64</v>
      </c>
      <c r="K173" s="12">
        <v>4</v>
      </c>
      <c r="L173" s="12">
        <v>2</v>
      </c>
      <c r="M173" s="13">
        <f t="shared" si="11"/>
        <v>0.2</v>
      </c>
    </row>
    <row r="174" ht="28" customHeight="1" spans="1:13">
      <c r="A174" s="11" t="s">
        <v>199</v>
      </c>
      <c r="B174" s="12">
        <v>93</v>
      </c>
      <c r="C174" s="13">
        <f t="shared" si="10"/>
        <v>0.93</v>
      </c>
      <c r="D174" s="12">
        <v>6</v>
      </c>
      <c r="E174" s="12">
        <v>1</v>
      </c>
      <c r="F174" s="12">
        <v>4</v>
      </c>
      <c r="G174" s="12">
        <v>0</v>
      </c>
      <c r="H174" s="5" t="s">
        <v>32</v>
      </c>
      <c r="I174" s="5" t="s">
        <v>59</v>
      </c>
      <c r="J174" s="12">
        <v>64</v>
      </c>
      <c r="K174" s="12">
        <v>5</v>
      </c>
      <c r="L174" s="12">
        <v>2</v>
      </c>
      <c r="M174" s="13">
        <f t="shared" si="11"/>
        <v>0.11</v>
      </c>
    </row>
    <row r="175" ht="28" customHeight="1" spans="1:13">
      <c r="A175" s="11" t="s">
        <v>200</v>
      </c>
      <c r="B175" s="12">
        <v>93</v>
      </c>
      <c r="C175" s="13">
        <f t="shared" si="10"/>
        <v>0.93</v>
      </c>
      <c r="D175" s="12">
        <v>6</v>
      </c>
      <c r="E175" s="12">
        <v>1</v>
      </c>
      <c r="F175" s="12">
        <v>1</v>
      </c>
      <c r="G175" s="12">
        <v>0</v>
      </c>
      <c r="H175" s="5" t="s">
        <v>32</v>
      </c>
      <c r="I175" s="5" t="s">
        <v>59</v>
      </c>
      <c r="J175" s="12">
        <v>64</v>
      </c>
      <c r="K175" s="12">
        <v>6</v>
      </c>
      <c r="L175" s="12">
        <v>2</v>
      </c>
      <c r="M175" s="13">
        <f t="shared" si="11"/>
        <v>0.08</v>
      </c>
    </row>
    <row r="176" ht="28" customHeight="1" spans="1:13">
      <c r="A176" s="11" t="s">
        <v>201</v>
      </c>
      <c r="B176" s="12">
        <v>97</v>
      </c>
      <c r="C176" s="13">
        <f t="shared" si="10"/>
        <v>0.97</v>
      </c>
      <c r="D176" s="12">
        <v>2</v>
      </c>
      <c r="E176" s="12">
        <v>1</v>
      </c>
      <c r="F176" s="12">
        <v>1</v>
      </c>
      <c r="G176" s="12">
        <v>0</v>
      </c>
      <c r="H176" s="5" t="s">
        <v>32</v>
      </c>
      <c r="I176" s="5" t="s">
        <v>59</v>
      </c>
      <c r="J176" s="12">
        <v>64</v>
      </c>
      <c r="K176" s="12">
        <v>7</v>
      </c>
      <c r="L176" s="12">
        <v>2</v>
      </c>
      <c r="M176" s="13">
        <f t="shared" si="11"/>
        <v>0.04</v>
      </c>
    </row>
    <row r="177" ht="28" customHeight="1" spans="1:13">
      <c r="A177" s="11" t="s">
        <v>202</v>
      </c>
      <c r="B177" s="12">
        <v>98</v>
      </c>
      <c r="C177" s="13">
        <f t="shared" si="10"/>
        <v>0.98</v>
      </c>
      <c r="D177" s="12">
        <v>1</v>
      </c>
      <c r="E177" s="12">
        <v>1</v>
      </c>
      <c r="F177" s="12">
        <v>3</v>
      </c>
      <c r="G177" s="12">
        <v>0</v>
      </c>
      <c r="H177" s="5" t="s">
        <v>32</v>
      </c>
      <c r="I177" s="5" t="s">
        <v>59</v>
      </c>
      <c r="J177" s="12">
        <v>64</v>
      </c>
      <c r="K177" s="12">
        <v>8</v>
      </c>
      <c r="L177" s="12">
        <v>2</v>
      </c>
      <c r="M177" s="13">
        <f t="shared" si="11"/>
        <v>0.05</v>
      </c>
    </row>
    <row r="178" ht="28" customHeight="1" spans="1:13">
      <c r="A178" s="11" t="s">
        <v>203</v>
      </c>
      <c r="B178" s="12">
        <v>98</v>
      </c>
      <c r="C178" s="13">
        <f t="shared" si="10"/>
        <v>0.98</v>
      </c>
      <c r="D178" s="12">
        <v>1</v>
      </c>
      <c r="E178" s="12">
        <v>1</v>
      </c>
      <c r="F178" s="12">
        <v>1</v>
      </c>
      <c r="G178" s="12">
        <v>0</v>
      </c>
      <c r="H178" s="5" t="s">
        <v>32</v>
      </c>
      <c r="I178" s="5" t="s">
        <v>59</v>
      </c>
      <c r="J178" s="12">
        <v>64</v>
      </c>
      <c r="K178" s="12">
        <v>9</v>
      </c>
      <c r="L178" s="12">
        <v>2</v>
      </c>
      <c r="M178" s="13">
        <f t="shared" si="11"/>
        <v>0.03</v>
      </c>
    </row>
    <row r="179" ht="28" customHeight="1" spans="1:13">
      <c r="A179" s="11" t="s">
        <v>204</v>
      </c>
      <c r="B179" s="12">
        <v>99</v>
      </c>
      <c r="C179" s="13">
        <f t="shared" si="10"/>
        <v>0.99</v>
      </c>
      <c r="D179" s="12">
        <v>0</v>
      </c>
      <c r="E179" s="12">
        <v>1</v>
      </c>
      <c r="F179" s="12">
        <v>1</v>
      </c>
      <c r="G179" s="12">
        <v>0</v>
      </c>
      <c r="H179" s="5" t="s">
        <v>32</v>
      </c>
      <c r="I179" s="5" t="s">
        <v>59</v>
      </c>
      <c r="J179" s="12">
        <v>64</v>
      </c>
      <c r="K179" s="12">
        <v>10</v>
      </c>
      <c r="L179" s="12">
        <v>2</v>
      </c>
      <c r="M179" s="13">
        <f t="shared" si="11"/>
        <v>0.02</v>
      </c>
    </row>
    <row r="180" ht="28" customHeight="1" spans="1:13">
      <c r="A180" s="11" t="s">
        <v>205</v>
      </c>
      <c r="B180" s="12">
        <v>99</v>
      </c>
      <c r="C180" s="13">
        <f t="shared" si="10"/>
        <v>0.99</v>
      </c>
      <c r="D180" s="12">
        <v>0</v>
      </c>
      <c r="E180" s="12">
        <v>1</v>
      </c>
      <c r="F180" s="12">
        <v>2</v>
      </c>
      <c r="G180" s="12">
        <v>0</v>
      </c>
      <c r="H180" s="5" t="s">
        <v>32</v>
      </c>
      <c r="I180" s="5" t="s">
        <v>59</v>
      </c>
      <c r="J180" s="12">
        <v>64</v>
      </c>
      <c r="K180" s="12">
        <v>11</v>
      </c>
      <c r="L180" s="12">
        <v>2</v>
      </c>
      <c r="M180" s="13">
        <f t="shared" si="11"/>
        <v>0.03</v>
      </c>
    </row>
    <row r="181" ht="28" customHeight="1" spans="1:13">
      <c r="A181" s="11" t="s">
        <v>206</v>
      </c>
      <c r="B181" s="12">
        <v>99</v>
      </c>
      <c r="C181" s="13">
        <f t="shared" si="10"/>
        <v>0.99</v>
      </c>
      <c r="D181" s="12">
        <v>0</v>
      </c>
      <c r="E181" s="12">
        <v>1</v>
      </c>
      <c r="F181" s="12">
        <v>2</v>
      </c>
      <c r="G181" s="12">
        <v>0</v>
      </c>
      <c r="H181" s="5" t="s">
        <v>32</v>
      </c>
      <c r="I181" s="5" t="s">
        <v>59</v>
      </c>
      <c r="J181" s="12">
        <v>64</v>
      </c>
      <c r="K181" s="12">
        <v>12</v>
      </c>
      <c r="L181" s="12">
        <v>2</v>
      </c>
      <c r="M181" s="13">
        <f t="shared" si="11"/>
        <v>0.03</v>
      </c>
    </row>
    <row r="182" ht="28" customHeight="1" spans="1:13">
      <c r="A182" s="11" t="s">
        <v>207</v>
      </c>
      <c r="B182" s="12">
        <v>100</v>
      </c>
      <c r="C182" s="13">
        <f t="shared" si="10"/>
        <v>1</v>
      </c>
      <c r="D182" s="12">
        <v>0</v>
      </c>
      <c r="E182" s="12">
        <v>0</v>
      </c>
      <c r="F182" s="12">
        <v>1</v>
      </c>
      <c r="G182" s="12">
        <v>0</v>
      </c>
      <c r="H182" s="5" t="s">
        <v>32</v>
      </c>
      <c r="I182" s="5" t="s">
        <v>59</v>
      </c>
      <c r="J182" s="12">
        <v>64</v>
      </c>
      <c r="K182" s="12">
        <v>13</v>
      </c>
      <c r="L182" s="12">
        <v>2</v>
      </c>
      <c r="M182" s="13">
        <f t="shared" si="11"/>
        <v>0.01</v>
      </c>
    </row>
    <row r="183" ht="28" customHeight="1" spans="1:13">
      <c r="A183" s="11" t="s">
        <v>208</v>
      </c>
      <c r="B183" s="12">
        <v>100</v>
      </c>
      <c r="C183" s="13">
        <f t="shared" si="10"/>
        <v>1</v>
      </c>
      <c r="D183" s="12">
        <v>0</v>
      </c>
      <c r="E183" s="12">
        <v>0</v>
      </c>
      <c r="F183" s="12">
        <v>0</v>
      </c>
      <c r="G183" s="12">
        <v>0</v>
      </c>
      <c r="H183" s="5" t="s">
        <v>32</v>
      </c>
      <c r="I183" s="5" t="s">
        <v>151</v>
      </c>
      <c r="J183" s="12">
        <v>64</v>
      </c>
      <c r="K183" s="12">
        <v>14</v>
      </c>
      <c r="L183" s="12">
        <v>2</v>
      </c>
      <c r="M183" s="13">
        <f t="shared" si="11"/>
        <v>0</v>
      </c>
    </row>
    <row r="184" ht="28" customHeight="1" spans="1:13">
      <c r="A184" s="11" t="s">
        <v>209</v>
      </c>
      <c r="B184" s="12">
        <v>99</v>
      </c>
      <c r="C184" s="13">
        <f t="shared" si="10"/>
        <v>0.99</v>
      </c>
      <c r="D184" s="12">
        <v>1</v>
      </c>
      <c r="E184" s="12">
        <v>0</v>
      </c>
      <c r="F184" s="12">
        <v>0</v>
      </c>
      <c r="G184" s="12">
        <v>0</v>
      </c>
      <c r="H184" s="5" t="s">
        <v>32</v>
      </c>
      <c r="I184" s="5" t="s">
        <v>59</v>
      </c>
      <c r="J184" s="12">
        <v>64</v>
      </c>
      <c r="K184" s="12">
        <v>15</v>
      </c>
      <c r="L184" s="12">
        <v>2</v>
      </c>
      <c r="M184" s="13">
        <f t="shared" si="11"/>
        <v>0.01</v>
      </c>
    </row>
    <row r="185" ht="28" customHeight="1" spans="1:13">
      <c r="A185" s="11" t="s">
        <v>210</v>
      </c>
      <c r="B185" s="12">
        <v>99</v>
      </c>
      <c r="C185" s="13">
        <f t="shared" si="10"/>
        <v>0.99</v>
      </c>
      <c r="D185" s="12">
        <v>0</v>
      </c>
      <c r="E185" s="12">
        <v>1</v>
      </c>
      <c r="F185" s="12">
        <v>1</v>
      </c>
      <c r="G185" s="12">
        <v>0</v>
      </c>
      <c r="H185" s="5" t="s">
        <v>32</v>
      </c>
      <c r="I185" s="5" t="s">
        <v>59</v>
      </c>
      <c r="J185" s="12">
        <v>64</v>
      </c>
      <c r="K185" s="12">
        <v>16</v>
      </c>
      <c r="L185" s="12">
        <v>2</v>
      </c>
      <c r="M185" s="13">
        <f t="shared" si="11"/>
        <v>0.02</v>
      </c>
    </row>
    <row r="186" ht="28" customHeight="1" spans="1:13">
      <c r="A186" s="11" t="s">
        <v>211</v>
      </c>
      <c r="B186" s="12">
        <v>99</v>
      </c>
      <c r="C186" s="13">
        <f t="shared" si="10"/>
        <v>0.99</v>
      </c>
      <c r="D186" s="12">
        <v>0</v>
      </c>
      <c r="E186" s="12">
        <v>1</v>
      </c>
      <c r="F186" s="12">
        <v>1</v>
      </c>
      <c r="G186" s="12">
        <v>0</v>
      </c>
      <c r="H186" s="5" t="s">
        <v>32</v>
      </c>
      <c r="I186" s="5" t="s">
        <v>59</v>
      </c>
      <c r="J186" s="12">
        <v>64</v>
      </c>
      <c r="K186" s="12">
        <v>17</v>
      </c>
      <c r="L186" s="12">
        <v>2</v>
      </c>
      <c r="M186" s="13">
        <f t="shared" si="11"/>
        <v>0.02</v>
      </c>
    </row>
    <row r="187" ht="28" customHeight="1" spans="1:13">
      <c r="A187" s="11" t="s">
        <v>212</v>
      </c>
      <c r="B187" s="12">
        <v>98</v>
      </c>
      <c r="C187" s="13">
        <f t="shared" si="10"/>
        <v>0.98</v>
      </c>
      <c r="D187" s="12">
        <v>1</v>
      </c>
      <c r="E187" s="12">
        <v>1</v>
      </c>
      <c r="F187" s="12">
        <v>0</v>
      </c>
      <c r="G187" s="12">
        <v>0</v>
      </c>
      <c r="H187" s="5" t="s">
        <v>32</v>
      </c>
      <c r="I187" s="5" t="s">
        <v>59</v>
      </c>
      <c r="J187" s="12">
        <v>64</v>
      </c>
      <c r="K187" s="12">
        <v>18</v>
      </c>
      <c r="L187" s="12">
        <v>2</v>
      </c>
      <c r="M187" s="13">
        <f t="shared" si="11"/>
        <v>0.02</v>
      </c>
    </row>
    <row r="188" ht="28" customHeight="1" spans="1:13">
      <c r="A188" s="11" t="s">
        <v>213</v>
      </c>
      <c r="B188" s="12">
        <v>99</v>
      </c>
      <c r="C188" s="13">
        <f t="shared" si="10"/>
        <v>0.99</v>
      </c>
      <c r="D188" s="12">
        <v>1</v>
      </c>
      <c r="E188" s="12">
        <v>0</v>
      </c>
      <c r="F188" s="12">
        <v>0</v>
      </c>
      <c r="G188" s="12">
        <v>0</v>
      </c>
      <c r="H188" s="5" t="s">
        <v>32</v>
      </c>
      <c r="I188" s="5" t="s">
        <v>59</v>
      </c>
      <c r="J188" s="12">
        <v>64</v>
      </c>
      <c r="K188" s="12">
        <v>19</v>
      </c>
      <c r="L188" s="12">
        <v>2</v>
      </c>
      <c r="M188" s="13">
        <f t="shared" si="11"/>
        <v>0.01</v>
      </c>
    </row>
    <row r="189" ht="28" customHeight="1" spans="1:13">
      <c r="A189" s="11" t="s">
        <v>214</v>
      </c>
      <c r="B189" s="12">
        <v>98</v>
      </c>
      <c r="C189" s="13">
        <f t="shared" si="10"/>
        <v>0.98</v>
      </c>
      <c r="D189" s="12">
        <v>1</v>
      </c>
      <c r="E189" s="12">
        <v>1</v>
      </c>
      <c r="F189" s="12">
        <v>0</v>
      </c>
      <c r="G189" s="12">
        <v>0</v>
      </c>
      <c r="H189" s="5" t="s">
        <v>32</v>
      </c>
      <c r="I189" s="5" t="s">
        <v>59</v>
      </c>
      <c r="J189" s="12">
        <v>64</v>
      </c>
      <c r="K189" s="12">
        <v>20</v>
      </c>
      <c r="L189" s="12">
        <v>2</v>
      </c>
      <c r="M189" s="13">
        <f t="shared" si="11"/>
        <v>0.02</v>
      </c>
    </row>
    <row r="190" ht="28" customHeight="1" spans="1:13">
      <c r="A190" s="11" t="s">
        <v>215</v>
      </c>
      <c r="B190" s="12">
        <v>99</v>
      </c>
      <c r="C190" s="13">
        <f t="shared" si="10"/>
        <v>0.99</v>
      </c>
      <c r="D190" s="12">
        <v>0</v>
      </c>
      <c r="E190" s="12">
        <v>1</v>
      </c>
      <c r="F190" s="12">
        <v>0</v>
      </c>
      <c r="G190" s="12">
        <v>0</v>
      </c>
      <c r="H190" s="5" t="s">
        <v>32</v>
      </c>
      <c r="I190" s="5" t="s">
        <v>59</v>
      </c>
      <c r="J190" s="12">
        <v>64</v>
      </c>
      <c r="K190" s="12">
        <v>21</v>
      </c>
      <c r="L190" s="12">
        <v>2</v>
      </c>
      <c r="M190" s="13">
        <f t="shared" si="11"/>
        <v>0.01</v>
      </c>
    </row>
    <row r="191" ht="28" customHeight="1" spans="1:13">
      <c r="A191" s="11" t="s">
        <v>216</v>
      </c>
      <c r="B191" s="12">
        <v>39</v>
      </c>
      <c r="C191" s="13">
        <f t="shared" si="10"/>
        <v>0.39</v>
      </c>
      <c r="D191" s="12">
        <v>0</v>
      </c>
      <c r="E191" s="12">
        <v>61</v>
      </c>
      <c r="F191" s="12">
        <v>1</v>
      </c>
      <c r="G191" s="12">
        <v>0</v>
      </c>
      <c r="H191" s="5" t="s">
        <v>32</v>
      </c>
      <c r="I191" s="5" t="s">
        <v>59</v>
      </c>
      <c r="J191" s="12">
        <v>64</v>
      </c>
      <c r="K191" s="12">
        <v>22</v>
      </c>
      <c r="L191" s="12">
        <v>2</v>
      </c>
      <c r="M191" s="13">
        <f t="shared" si="11"/>
        <v>0.62</v>
      </c>
    </row>
    <row r="192" ht="28" customHeight="1" spans="1:13">
      <c r="A192" s="11" t="s">
        <v>217</v>
      </c>
      <c r="B192" s="12">
        <v>100</v>
      </c>
      <c r="C192" s="13">
        <f t="shared" si="10"/>
        <v>1</v>
      </c>
      <c r="D192" s="12">
        <v>0</v>
      </c>
      <c r="E192" s="12">
        <v>0</v>
      </c>
      <c r="F192" s="12">
        <v>0</v>
      </c>
      <c r="G192" s="12">
        <v>0</v>
      </c>
      <c r="H192" s="5" t="s">
        <v>32</v>
      </c>
      <c r="I192" s="5" t="s">
        <v>151</v>
      </c>
      <c r="J192" s="12">
        <v>64</v>
      </c>
      <c r="K192" s="12">
        <v>23</v>
      </c>
      <c r="L192" s="12">
        <v>2</v>
      </c>
      <c r="M192" s="13">
        <f t="shared" si="11"/>
        <v>0</v>
      </c>
    </row>
    <row r="193" ht="28" customHeight="1" spans="1:13">
      <c r="A193" s="11" t="s">
        <v>218</v>
      </c>
      <c r="B193" s="12">
        <v>99</v>
      </c>
      <c r="C193" s="13">
        <f t="shared" si="10"/>
        <v>0.99</v>
      </c>
      <c r="D193" s="12">
        <v>0</v>
      </c>
      <c r="E193" s="12">
        <v>1</v>
      </c>
      <c r="F193" s="12">
        <v>1</v>
      </c>
      <c r="G193" s="12">
        <v>0</v>
      </c>
      <c r="H193" s="5" t="s">
        <v>32</v>
      </c>
      <c r="I193" s="5" t="s">
        <v>59</v>
      </c>
      <c r="J193" s="12">
        <v>64</v>
      </c>
      <c r="K193" s="12">
        <v>24</v>
      </c>
      <c r="L193" s="12">
        <v>2</v>
      </c>
      <c r="M193" s="13">
        <f t="shared" si="11"/>
        <v>0.02</v>
      </c>
    </row>
    <row r="194" ht="28" customHeight="1" spans="1:13">
      <c r="A194" s="11" t="s">
        <v>219</v>
      </c>
      <c r="B194" s="12">
        <v>100</v>
      </c>
      <c r="C194" s="13">
        <f t="shared" si="10"/>
        <v>1</v>
      </c>
      <c r="D194" s="12">
        <v>0</v>
      </c>
      <c r="E194" s="12">
        <v>0</v>
      </c>
      <c r="F194" s="12">
        <v>1</v>
      </c>
      <c r="G194" s="12">
        <v>0</v>
      </c>
      <c r="H194" s="5" t="s">
        <v>32</v>
      </c>
      <c r="I194" s="5" t="s">
        <v>59</v>
      </c>
      <c r="J194" s="12">
        <v>64</v>
      </c>
      <c r="K194" s="12">
        <v>25</v>
      </c>
      <c r="L194" s="12">
        <v>2</v>
      </c>
      <c r="M194" s="13">
        <f t="shared" si="11"/>
        <v>0.01</v>
      </c>
    </row>
    <row r="195" ht="28" customHeight="1" spans="1:13">
      <c r="A195" s="11" t="s">
        <v>220</v>
      </c>
      <c r="B195" s="12">
        <v>98</v>
      </c>
      <c r="C195" s="13">
        <f t="shared" si="10"/>
        <v>0.98</v>
      </c>
      <c r="D195" s="12">
        <v>0</v>
      </c>
      <c r="E195" s="12">
        <v>2</v>
      </c>
      <c r="F195" s="12">
        <v>0</v>
      </c>
      <c r="G195" s="12">
        <v>0</v>
      </c>
      <c r="H195" s="5" t="s">
        <v>32</v>
      </c>
      <c r="I195" s="5" t="s">
        <v>59</v>
      </c>
      <c r="J195" s="12">
        <v>64</v>
      </c>
      <c r="K195" s="12">
        <v>26</v>
      </c>
      <c r="L195" s="12">
        <v>2</v>
      </c>
      <c r="M195" s="13">
        <f t="shared" si="11"/>
        <v>0.02</v>
      </c>
    </row>
    <row r="196" ht="28" customHeight="1" spans="1:13">
      <c r="A196" s="11" t="s">
        <v>221</v>
      </c>
      <c r="B196" s="12">
        <v>100</v>
      </c>
      <c r="C196" s="13">
        <f t="shared" si="10"/>
        <v>1</v>
      </c>
      <c r="D196" s="12">
        <v>0</v>
      </c>
      <c r="E196" s="12">
        <v>0</v>
      </c>
      <c r="F196" s="12">
        <v>0</v>
      </c>
      <c r="G196" s="12">
        <v>0</v>
      </c>
      <c r="H196" s="5" t="s">
        <v>32</v>
      </c>
      <c r="I196" s="5" t="s">
        <v>151</v>
      </c>
      <c r="J196" s="12">
        <v>64</v>
      </c>
      <c r="K196" s="12">
        <v>27</v>
      </c>
      <c r="L196" s="12">
        <v>2</v>
      </c>
      <c r="M196" s="13">
        <f t="shared" si="11"/>
        <v>0</v>
      </c>
    </row>
    <row r="197" ht="28" customHeight="1" spans="1:13">
      <c r="A197" s="11" t="s">
        <v>222</v>
      </c>
      <c r="B197" s="12">
        <v>99</v>
      </c>
      <c r="C197" s="13">
        <f t="shared" si="10"/>
        <v>0.99</v>
      </c>
      <c r="D197" s="12">
        <v>0</v>
      </c>
      <c r="E197" s="12">
        <v>1</v>
      </c>
      <c r="F197" s="12">
        <v>2</v>
      </c>
      <c r="G197" s="12">
        <v>0</v>
      </c>
      <c r="H197" s="5" t="s">
        <v>32</v>
      </c>
      <c r="I197" s="5" t="s">
        <v>59</v>
      </c>
      <c r="J197" s="12">
        <v>64</v>
      </c>
      <c r="K197" s="12">
        <v>28</v>
      </c>
      <c r="L197" s="12">
        <v>2</v>
      </c>
      <c r="M197" s="13">
        <f t="shared" si="11"/>
        <v>0.03</v>
      </c>
    </row>
    <row r="198" ht="28" customHeight="1" spans="1:13">
      <c r="A198" s="11" t="s">
        <v>223</v>
      </c>
      <c r="B198" s="12">
        <v>99</v>
      </c>
      <c r="C198" s="13">
        <f t="shared" si="10"/>
        <v>0.99</v>
      </c>
      <c r="D198" s="12">
        <v>1</v>
      </c>
      <c r="E198" s="12">
        <v>0</v>
      </c>
      <c r="F198" s="12">
        <v>0</v>
      </c>
      <c r="G198" s="12">
        <v>0</v>
      </c>
      <c r="H198" s="5" t="s">
        <v>32</v>
      </c>
      <c r="I198" s="5" t="s">
        <v>59</v>
      </c>
      <c r="J198" s="12">
        <v>64</v>
      </c>
      <c r="K198" s="12">
        <v>29</v>
      </c>
      <c r="L198" s="12">
        <v>2</v>
      </c>
      <c r="M198" s="13">
        <f t="shared" si="11"/>
        <v>0.01</v>
      </c>
    </row>
    <row r="199" ht="28" customHeight="1" spans="1:13">
      <c r="A199" s="11" t="s">
        <v>224</v>
      </c>
      <c r="B199" s="12">
        <v>98</v>
      </c>
      <c r="C199" s="13">
        <f t="shared" si="10"/>
        <v>0.98</v>
      </c>
      <c r="D199" s="12">
        <v>1</v>
      </c>
      <c r="E199" s="12">
        <v>1</v>
      </c>
      <c r="F199" s="12">
        <v>1</v>
      </c>
      <c r="G199" s="12">
        <v>0</v>
      </c>
      <c r="H199" s="5" t="s">
        <v>32</v>
      </c>
      <c r="I199" s="5" t="s">
        <v>59</v>
      </c>
      <c r="J199" s="12">
        <v>64</v>
      </c>
      <c r="K199" s="12">
        <v>30</v>
      </c>
      <c r="L199" s="12">
        <v>2</v>
      </c>
      <c r="M199" s="13">
        <f t="shared" si="11"/>
        <v>0.03</v>
      </c>
    </row>
    <row r="200" ht="28" customHeight="1" spans="1:13">
      <c r="A200" s="11" t="s">
        <v>225</v>
      </c>
      <c r="B200" s="12">
        <v>99</v>
      </c>
      <c r="C200" s="13">
        <f t="shared" si="10"/>
        <v>0.99</v>
      </c>
      <c r="D200" s="12">
        <v>0</v>
      </c>
      <c r="E200" s="12">
        <v>1</v>
      </c>
      <c r="F200" s="12">
        <v>1</v>
      </c>
      <c r="G200" s="12">
        <v>0</v>
      </c>
      <c r="H200" s="5" t="s">
        <v>32</v>
      </c>
      <c r="I200" s="5" t="s">
        <v>59</v>
      </c>
      <c r="J200" s="12">
        <v>64</v>
      </c>
      <c r="K200" s="12">
        <v>31</v>
      </c>
      <c r="L200" s="12">
        <v>2</v>
      </c>
      <c r="M200" s="13">
        <f t="shared" si="11"/>
        <v>0.02</v>
      </c>
    </row>
    <row r="201" ht="28" customHeight="1" spans="1:13">
      <c r="A201" s="11" t="s">
        <v>226</v>
      </c>
      <c r="B201" s="12">
        <v>98</v>
      </c>
      <c r="C201" s="13">
        <f t="shared" si="10"/>
        <v>0.98</v>
      </c>
      <c r="D201" s="12">
        <v>2</v>
      </c>
      <c r="E201" s="12">
        <v>0</v>
      </c>
      <c r="F201" s="12">
        <v>0</v>
      </c>
      <c r="G201" s="12">
        <v>0</v>
      </c>
      <c r="H201" s="5" t="s">
        <v>32</v>
      </c>
      <c r="I201" s="5" t="s">
        <v>59</v>
      </c>
      <c r="J201" s="12">
        <v>64</v>
      </c>
      <c r="K201" s="12">
        <v>32</v>
      </c>
      <c r="L201" s="12">
        <v>2</v>
      </c>
      <c r="M201" s="13">
        <f t="shared" si="11"/>
        <v>0.02</v>
      </c>
    </row>
    <row r="203" ht="30" customHeight="1" spans="1:13">
      <c r="A203" s="4" t="s">
        <v>227</v>
      </c>
      <c r="B203" s="4">
        <f>SUM(B10:B201)</f>
        <v>12362</v>
      </c>
      <c r="C203" s="15">
        <f>B203/19200</f>
        <v>0.643854166666667</v>
      </c>
      <c r="D203" s="4">
        <f>SUM(D10:D201)</f>
        <v>603</v>
      </c>
      <c r="E203" s="4">
        <f>SUM(E10:E201)</f>
        <v>6235</v>
      </c>
      <c r="F203" s="4">
        <f>SUM(F10:F201)</f>
        <v>201</v>
      </c>
      <c r="G203" s="4">
        <f>SUM(G10:G201)</f>
        <v>162</v>
      </c>
      <c r="H203" s="4"/>
      <c r="I203" s="4" t="s">
        <v>228</v>
      </c>
      <c r="J203" s="4"/>
      <c r="K203" s="4"/>
      <c r="L203" s="4"/>
      <c r="M203" s="15">
        <f>(D203+E203+F203)/19200</f>
        <v>0.366614583333333</v>
      </c>
    </row>
    <row r="205" spans="1:13">
      <c r="A205" t="s">
        <v>229</v>
      </c>
    </row>
  </sheetData>
  <mergeCells count="4">
    <mergeCell ref="A2:M2"/>
    <mergeCell ref="O2:U2"/>
    <mergeCell ref="O3:U3"/>
    <mergeCell ref="O4:U4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0"/>
  <sheetViews>
    <sheetView showGridLines="0" workbookViewId="0">
      <pane ySplit="8" topLeftCell="A9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13" customWidth="1"/>
    <col min="2" max="2" width="100" customWidth="1"/>
    <col min="3" max="3" width="38" customWidth="1"/>
  </cols>
  <sheetData>
    <row r="1" spans="1:3">
      <c r="A1" s="1"/>
      <c r="B1" s="1"/>
      <c r="C1" s="1"/>
    </row>
    <row r="2" ht="34" customHeight="1" spans="1:3">
      <c r="A2" s="2" t="s">
        <v>230</v>
      </c>
      <c r="B2" s="1"/>
      <c r="C2" s="1"/>
    </row>
    <row r="3" spans="1:3">
      <c r="A3" s="1" t="s">
        <v>231</v>
      </c>
      <c r="B3" s="1"/>
      <c r="C3" s="1"/>
    </row>
    <row r="4" spans="1:3">
      <c r="A4" s="1"/>
      <c r="B4" s="1"/>
      <c r="C4" s="1"/>
    </row>
    <row r="5" ht="115" customHeight="1" spans="1:3">
      <c r="A5" s="1" t="s">
        <v>232</v>
      </c>
      <c r="B5" s="3" t="s">
        <v>233</v>
      </c>
      <c r="C5" s="1"/>
    </row>
    <row r="6" spans="1:3">
      <c r="A6" s="1"/>
      <c r="B6" s="1"/>
      <c r="C6" s="1"/>
    </row>
    <row r="7" spans="1:3">
      <c r="A7" s="1" t="s">
        <v>234</v>
      </c>
      <c r="B7" s="1"/>
      <c r="C7" s="1"/>
    </row>
    <row r="8" ht="30" customHeight="1" spans="1:3">
      <c r="A8" s="4" t="s">
        <v>11</v>
      </c>
      <c r="B8" s="4" t="s">
        <v>235</v>
      </c>
      <c r="C8" s="4" t="s">
        <v>236</v>
      </c>
    </row>
    <row r="9" ht="38" customHeight="1" spans="1:3">
      <c r="A9" s="5" t="s">
        <v>31</v>
      </c>
      <c r="B9" s="6" t="s">
        <v>237</v>
      </c>
      <c r="C9" s="5" t="s">
        <v>238</v>
      </c>
    </row>
    <row r="10" ht="38" customHeight="1" spans="1:3">
      <c r="A10" s="5" t="s">
        <v>34</v>
      </c>
      <c r="B10" s="6" t="s">
        <v>237</v>
      </c>
      <c r="C10" s="5" t="s">
        <v>239</v>
      </c>
    </row>
    <row r="11" ht="38" customHeight="1" spans="1:3">
      <c r="A11" s="5" t="s">
        <v>35</v>
      </c>
      <c r="B11" s="6" t="s">
        <v>237</v>
      </c>
      <c r="C11" s="5" t="s">
        <v>240</v>
      </c>
    </row>
    <row r="12" ht="38" customHeight="1" spans="1:3">
      <c r="A12" s="5" t="s">
        <v>36</v>
      </c>
      <c r="B12" s="6" t="s">
        <v>237</v>
      </c>
      <c r="C12" s="5" t="s">
        <v>241</v>
      </c>
    </row>
    <row r="13" ht="38" customHeight="1" spans="1:3">
      <c r="A13" s="5" t="s">
        <v>37</v>
      </c>
      <c r="B13" s="6" t="s">
        <v>237</v>
      </c>
      <c r="C13" s="5" t="s">
        <v>242</v>
      </c>
    </row>
    <row r="14" ht="38" customHeight="1" spans="1:3">
      <c r="A14" s="5" t="s">
        <v>38</v>
      </c>
      <c r="B14" s="6" t="s">
        <v>237</v>
      </c>
      <c r="C14" s="5" t="s">
        <v>243</v>
      </c>
    </row>
    <row r="15" ht="38" customHeight="1" spans="1:3">
      <c r="A15" s="5" t="s">
        <v>39</v>
      </c>
      <c r="B15" s="6" t="s">
        <v>237</v>
      </c>
      <c r="C15" s="5" t="s">
        <v>244</v>
      </c>
    </row>
    <row r="16" ht="38" customHeight="1" spans="1:3">
      <c r="A16" s="5" t="s">
        <v>40</v>
      </c>
      <c r="B16" s="6" t="s">
        <v>237</v>
      </c>
      <c r="C16" s="5" t="s">
        <v>245</v>
      </c>
    </row>
    <row r="17" ht="38" customHeight="1" spans="1:3">
      <c r="A17" s="5" t="s">
        <v>41</v>
      </c>
      <c r="B17" s="6" t="s">
        <v>237</v>
      </c>
      <c r="C17" s="5" t="s">
        <v>246</v>
      </c>
    </row>
    <row r="18" ht="38" customHeight="1" spans="1:3">
      <c r="A18" s="5" t="s">
        <v>42</v>
      </c>
      <c r="B18" s="6" t="s">
        <v>237</v>
      </c>
      <c r="C18" s="5" t="s">
        <v>247</v>
      </c>
    </row>
    <row r="19" ht="38" customHeight="1" spans="1:3">
      <c r="A19" s="5" t="s">
        <v>43</v>
      </c>
      <c r="B19" s="6" t="s">
        <v>237</v>
      </c>
      <c r="C19" s="5" t="s">
        <v>248</v>
      </c>
    </row>
    <row r="20" ht="38" customHeight="1" spans="1:3">
      <c r="A20" s="5" t="s">
        <v>44</v>
      </c>
      <c r="B20" s="6" t="s">
        <v>237</v>
      </c>
      <c r="C20" s="5" t="s">
        <v>249</v>
      </c>
    </row>
    <row r="21" ht="38" customHeight="1" spans="1:3">
      <c r="A21" s="5" t="s">
        <v>45</v>
      </c>
      <c r="B21" s="6" t="s">
        <v>237</v>
      </c>
      <c r="C21" s="5" t="s">
        <v>250</v>
      </c>
    </row>
    <row r="22" ht="38" customHeight="1" spans="1:3">
      <c r="A22" s="5" t="s">
        <v>46</v>
      </c>
      <c r="B22" s="6" t="s">
        <v>237</v>
      </c>
      <c r="C22" s="5" t="s">
        <v>251</v>
      </c>
    </row>
    <row r="23" ht="38" customHeight="1" spans="1:3">
      <c r="A23" s="5" t="s">
        <v>47</v>
      </c>
      <c r="B23" s="6" t="s">
        <v>237</v>
      </c>
      <c r="C23" s="5" t="s">
        <v>252</v>
      </c>
    </row>
    <row r="24" ht="38" customHeight="1" spans="1:3">
      <c r="A24" s="5" t="s">
        <v>48</v>
      </c>
      <c r="B24" s="6" t="s">
        <v>237</v>
      </c>
      <c r="C24" s="5" t="s">
        <v>253</v>
      </c>
    </row>
    <row r="25" ht="38" customHeight="1" spans="1:3">
      <c r="A25" s="5" t="s">
        <v>49</v>
      </c>
      <c r="B25" s="6" t="s">
        <v>237</v>
      </c>
      <c r="C25" s="5" t="s">
        <v>254</v>
      </c>
    </row>
    <row r="26" ht="38" customHeight="1" spans="1:3">
      <c r="A26" s="5" t="s">
        <v>50</v>
      </c>
      <c r="B26" s="6" t="s">
        <v>237</v>
      </c>
      <c r="C26" s="5" t="s">
        <v>255</v>
      </c>
    </row>
    <row r="27" ht="38" customHeight="1" spans="1:3">
      <c r="A27" s="5" t="s">
        <v>51</v>
      </c>
      <c r="B27" s="6" t="s">
        <v>237</v>
      </c>
      <c r="C27" s="5" t="s">
        <v>256</v>
      </c>
    </row>
    <row r="28" ht="38" customHeight="1" spans="1:3">
      <c r="A28" s="5" t="s">
        <v>52</v>
      </c>
      <c r="B28" s="6" t="s">
        <v>237</v>
      </c>
      <c r="C28" s="5" t="s">
        <v>257</v>
      </c>
    </row>
    <row r="29" ht="38" customHeight="1" spans="1:3">
      <c r="A29" s="5" t="s">
        <v>53</v>
      </c>
      <c r="B29" s="6" t="s">
        <v>237</v>
      </c>
      <c r="C29" s="5" t="s">
        <v>258</v>
      </c>
    </row>
    <row r="30" ht="38" customHeight="1" spans="1:3">
      <c r="A30" s="5" t="s">
        <v>54</v>
      </c>
      <c r="B30" s="6" t="s">
        <v>237</v>
      </c>
      <c r="C30" s="5" t="s">
        <v>259</v>
      </c>
    </row>
    <row r="31" ht="38" customHeight="1" spans="1:3">
      <c r="A31" s="5" t="s">
        <v>55</v>
      </c>
      <c r="B31" s="6" t="s">
        <v>237</v>
      </c>
      <c r="C31" s="5" t="s">
        <v>260</v>
      </c>
    </row>
    <row r="32" ht="38" customHeight="1" spans="1:3">
      <c r="A32" s="5" t="s">
        <v>56</v>
      </c>
      <c r="B32" s="6" t="s">
        <v>237</v>
      </c>
      <c r="C32" s="5" t="s">
        <v>261</v>
      </c>
    </row>
    <row r="33" ht="38" customHeight="1" spans="1:3">
      <c r="A33" s="5" t="s">
        <v>57</v>
      </c>
      <c r="B33" s="6" t="s">
        <v>237</v>
      </c>
      <c r="C33" s="5" t="s">
        <v>262</v>
      </c>
    </row>
    <row r="34" ht="115" customHeight="1" spans="1:3">
      <c r="A34" s="5" t="s">
        <v>58</v>
      </c>
      <c r="B34" s="6" t="s">
        <v>263</v>
      </c>
      <c r="C34" s="5" t="s">
        <v>264</v>
      </c>
    </row>
    <row r="35" ht="38" customHeight="1" spans="1:3">
      <c r="A35" s="5" t="s">
        <v>60</v>
      </c>
      <c r="B35" s="6" t="s">
        <v>237</v>
      </c>
      <c r="C35" s="5" t="s">
        <v>265</v>
      </c>
    </row>
    <row r="36" ht="38" customHeight="1" spans="1:3">
      <c r="A36" s="5" t="s">
        <v>61</v>
      </c>
      <c r="B36" s="6" t="s">
        <v>237</v>
      </c>
      <c r="C36" s="5" t="s">
        <v>266</v>
      </c>
    </row>
    <row r="37" ht="38" customHeight="1" spans="1:3">
      <c r="A37" s="5" t="s">
        <v>62</v>
      </c>
      <c r="B37" s="6" t="s">
        <v>237</v>
      </c>
      <c r="C37" s="5" t="s">
        <v>267</v>
      </c>
    </row>
    <row r="38" ht="38" customHeight="1" spans="1:3">
      <c r="A38" s="5" t="s">
        <v>63</v>
      </c>
      <c r="B38" s="6" t="s">
        <v>237</v>
      </c>
      <c r="C38" s="5" t="s">
        <v>268</v>
      </c>
    </row>
    <row r="39" ht="38" customHeight="1" spans="1:3">
      <c r="A39" s="5" t="s">
        <v>64</v>
      </c>
      <c r="B39" s="6" t="s">
        <v>237</v>
      </c>
      <c r="C39" s="5" t="s">
        <v>269</v>
      </c>
    </row>
    <row r="40" ht="38" customHeight="1" spans="1:3">
      <c r="A40" s="5" t="s">
        <v>65</v>
      </c>
      <c r="B40" s="6" t="s">
        <v>237</v>
      </c>
      <c r="C40" s="5" t="s">
        <v>270</v>
      </c>
    </row>
    <row r="41" ht="38" customHeight="1" spans="1:3">
      <c r="A41" s="5" t="s">
        <v>66</v>
      </c>
      <c r="B41" s="6" t="s">
        <v>237</v>
      </c>
      <c r="C41" s="5" t="s">
        <v>271</v>
      </c>
    </row>
    <row r="42" ht="38" customHeight="1" spans="1:3">
      <c r="A42" s="5" t="s">
        <v>67</v>
      </c>
      <c r="B42" s="6" t="s">
        <v>237</v>
      </c>
      <c r="C42" s="5" t="s">
        <v>272</v>
      </c>
    </row>
    <row r="43" ht="38" customHeight="1" spans="1:3">
      <c r="A43" s="5" t="s">
        <v>68</v>
      </c>
      <c r="B43" s="6" t="s">
        <v>237</v>
      </c>
      <c r="C43" s="5" t="s">
        <v>273</v>
      </c>
    </row>
    <row r="44" ht="38" customHeight="1" spans="1:3">
      <c r="A44" s="5" t="s">
        <v>69</v>
      </c>
      <c r="B44" s="6" t="s">
        <v>237</v>
      </c>
      <c r="C44" s="5" t="s">
        <v>274</v>
      </c>
    </row>
    <row r="45" ht="38" customHeight="1" spans="1:3">
      <c r="A45" s="5" t="s">
        <v>70</v>
      </c>
      <c r="B45" s="6" t="s">
        <v>237</v>
      </c>
      <c r="C45" s="5" t="s">
        <v>275</v>
      </c>
    </row>
    <row r="46" ht="38" customHeight="1" spans="1:3">
      <c r="A46" s="5" t="s">
        <v>71</v>
      </c>
      <c r="B46" s="6" t="s">
        <v>237</v>
      </c>
      <c r="C46" s="5" t="s">
        <v>276</v>
      </c>
    </row>
    <row r="47" ht="38" customHeight="1" spans="1:3">
      <c r="A47" s="5" t="s">
        <v>72</v>
      </c>
      <c r="B47" s="6" t="s">
        <v>237</v>
      </c>
      <c r="C47" s="5" t="s">
        <v>277</v>
      </c>
    </row>
    <row r="48" ht="38" customHeight="1" spans="1:3">
      <c r="A48" s="5" t="s">
        <v>73</v>
      </c>
      <c r="B48" s="6" t="s">
        <v>237</v>
      </c>
      <c r="C48" s="5" t="s">
        <v>278</v>
      </c>
    </row>
    <row r="49" ht="38" customHeight="1" spans="1:3">
      <c r="A49" s="5" t="s">
        <v>74</v>
      </c>
      <c r="B49" s="6" t="s">
        <v>237</v>
      </c>
      <c r="C49" s="5" t="s">
        <v>279</v>
      </c>
    </row>
    <row r="50" ht="38" customHeight="1" spans="1:3">
      <c r="A50" s="5" t="s">
        <v>75</v>
      </c>
      <c r="B50" s="6" t="s">
        <v>237</v>
      </c>
      <c r="C50" s="5" t="s">
        <v>280</v>
      </c>
    </row>
    <row r="51" ht="38" customHeight="1" spans="1:3">
      <c r="A51" s="5" t="s">
        <v>76</v>
      </c>
      <c r="B51" s="6" t="s">
        <v>237</v>
      </c>
      <c r="C51" s="5" t="s">
        <v>281</v>
      </c>
    </row>
    <row r="52" ht="115" customHeight="1" spans="1:3">
      <c r="A52" s="5" t="s">
        <v>77</v>
      </c>
      <c r="B52" s="6" t="s">
        <v>282</v>
      </c>
      <c r="C52" s="5" t="s">
        <v>283</v>
      </c>
    </row>
    <row r="53" ht="115" customHeight="1" spans="1:3">
      <c r="A53" s="5" t="s">
        <v>78</v>
      </c>
      <c r="B53" s="6" t="s">
        <v>284</v>
      </c>
      <c r="C53" s="5" t="s">
        <v>285</v>
      </c>
    </row>
    <row r="54" ht="115" customHeight="1" spans="1:3">
      <c r="A54" s="5" t="s">
        <v>79</v>
      </c>
      <c r="B54" s="6" t="s">
        <v>286</v>
      </c>
      <c r="C54" s="5" t="s">
        <v>287</v>
      </c>
    </row>
    <row r="55" ht="115" customHeight="1" spans="1:3">
      <c r="A55" s="5" t="s">
        <v>80</v>
      </c>
      <c r="B55" s="6" t="s">
        <v>288</v>
      </c>
      <c r="C55" s="5" t="s">
        <v>289</v>
      </c>
    </row>
    <row r="56" ht="115" customHeight="1" spans="1:3">
      <c r="A56" s="5" t="s">
        <v>81</v>
      </c>
      <c r="B56" s="6" t="s">
        <v>290</v>
      </c>
      <c r="C56" s="5" t="s">
        <v>291</v>
      </c>
    </row>
    <row r="57" ht="115" customHeight="1" spans="1:3">
      <c r="A57" s="5" t="s">
        <v>82</v>
      </c>
      <c r="B57" s="6" t="s">
        <v>292</v>
      </c>
      <c r="C57" s="5" t="s">
        <v>293</v>
      </c>
    </row>
    <row r="58" ht="115" customHeight="1" spans="1:3">
      <c r="A58" s="5" t="s">
        <v>83</v>
      </c>
      <c r="B58" s="6" t="s">
        <v>294</v>
      </c>
      <c r="C58" s="5" t="s">
        <v>295</v>
      </c>
    </row>
    <row r="59" ht="115" customHeight="1" spans="1:3">
      <c r="A59" s="5" t="s">
        <v>84</v>
      </c>
      <c r="B59" s="6" t="s">
        <v>296</v>
      </c>
      <c r="C59" s="5" t="s">
        <v>297</v>
      </c>
    </row>
    <row r="60" ht="115" customHeight="1" spans="1:3">
      <c r="A60" s="5" t="s">
        <v>85</v>
      </c>
      <c r="B60" s="6" t="s">
        <v>298</v>
      </c>
      <c r="C60" s="5" t="s">
        <v>299</v>
      </c>
    </row>
    <row r="61" ht="115" customHeight="1" spans="1:3">
      <c r="A61" s="5" t="s">
        <v>86</v>
      </c>
      <c r="B61" s="6" t="s">
        <v>300</v>
      </c>
      <c r="C61" s="5" t="s">
        <v>301</v>
      </c>
    </row>
    <row r="62" ht="115" customHeight="1" spans="1:3">
      <c r="A62" s="5" t="s">
        <v>87</v>
      </c>
      <c r="B62" s="6" t="s">
        <v>302</v>
      </c>
      <c r="C62" s="5" t="s">
        <v>303</v>
      </c>
    </row>
    <row r="63" ht="115" customHeight="1" spans="1:3">
      <c r="A63" s="5" t="s">
        <v>88</v>
      </c>
      <c r="B63" s="6" t="s">
        <v>304</v>
      </c>
      <c r="C63" s="5" t="s">
        <v>305</v>
      </c>
    </row>
    <row r="64" ht="115" customHeight="1" spans="1:3">
      <c r="A64" s="5" t="s">
        <v>89</v>
      </c>
      <c r="B64" s="6" t="s">
        <v>306</v>
      </c>
      <c r="C64" s="5" t="s">
        <v>307</v>
      </c>
    </row>
    <row r="65" ht="115" customHeight="1" spans="1:3">
      <c r="A65" s="5" t="s">
        <v>90</v>
      </c>
      <c r="B65" s="6" t="s">
        <v>308</v>
      </c>
      <c r="C65" s="5" t="s">
        <v>309</v>
      </c>
    </row>
    <row r="66" ht="115" customHeight="1" spans="1:3">
      <c r="A66" s="5" t="s">
        <v>91</v>
      </c>
      <c r="B66" s="6" t="s">
        <v>310</v>
      </c>
      <c r="C66" s="5" t="s">
        <v>311</v>
      </c>
    </row>
    <row r="67" ht="115" customHeight="1" spans="1:3">
      <c r="A67" s="5" t="s">
        <v>92</v>
      </c>
      <c r="B67" s="6" t="s">
        <v>312</v>
      </c>
      <c r="C67" s="5" t="s">
        <v>313</v>
      </c>
    </row>
    <row r="68" ht="115" customHeight="1" spans="1:3">
      <c r="A68" s="5" t="s">
        <v>93</v>
      </c>
      <c r="B68" s="6" t="s">
        <v>314</v>
      </c>
      <c r="C68" s="5" t="s">
        <v>315</v>
      </c>
    </row>
    <row r="69" ht="115" customHeight="1" spans="1:3">
      <c r="A69" s="5" t="s">
        <v>94</v>
      </c>
      <c r="B69" s="6" t="s">
        <v>316</v>
      </c>
      <c r="C69" s="5" t="s">
        <v>317</v>
      </c>
    </row>
    <row r="70" ht="115" customHeight="1" spans="1:3">
      <c r="A70" s="5" t="s">
        <v>95</v>
      </c>
      <c r="B70" s="6" t="s">
        <v>318</v>
      </c>
      <c r="C70" s="5" t="s">
        <v>319</v>
      </c>
    </row>
    <row r="71" ht="115" customHeight="1" spans="1:3">
      <c r="A71" s="5" t="s">
        <v>96</v>
      </c>
      <c r="B71" s="6" t="s">
        <v>320</v>
      </c>
      <c r="C71" s="5" t="s">
        <v>321</v>
      </c>
    </row>
    <row r="72" ht="115" customHeight="1" spans="1:3">
      <c r="A72" s="5" t="s">
        <v>97</v>
      </c>
      <c r="B72" s="6" t="s">
        <v>322</v>
      </c>
      <c r="C72" s="5" t="s">
        <v>323</v>
      </c>
    </row>
    <row r="73" ht="38" customHeight="1" spans="1:3">
      <c r="A73" s="5" t="s">
        <v>98</v>
      </c>
      <c r="B73" s="6" t="s">
        <v>237</v>
      </c>
      <c r="C73" s="5" t="s">
        <v>324</v>
      </c>
    </row>
    <row r="74" ht="38" customHeight="1" spans="1:3">
      <c r="A74" s="5" t="s">
        <v>99</v>
      </c>
      <c r="B74" s="6" t="s">
        <v>237</v>
      </c>
      <c r="C74" s="5" t="s">
        <v>325</v>
      </c>
    </row>
    <row r="75" ht="38" customHeight="1" spans="1:3">
      <c r="A75" s="5" t="s">
        <v>100</v>
      </c>
      <c r="B75" s="6" t="s">
        <v>237</v>
      </c>
      <c r="C75" s="5" t="s">
        <v>326</v>
      </c>
    </row>
    <row r="76" ht="38" customHeight="1" spans="1:3">
      <c r="A76" s="5" t="s">
        <v>101</v>
      </c>
      <c r="B76" s="6" t="s">
        <v>237</v>
      </c>
      <c r="C76" s="5" t="s">
        <v>327</v>
      </c>
    </row>
    <row r="77" ht="38" customHeight="1" spans="1:3">
      <c r="A77" s="5" t="s">
        <v>102</v>
      </c>
      <c r="B77" s="6" t="s">
        <v>237</v>
      </c>
      <c r="C77" s="5" t="s">
        <v>328</v>
      </c>
    </row>
    <row r="78" ht="38" customHeight="1" spans="1:3">
      <c r="A78" s="5" t="s">
        <v>103</v>
      </c>
      <c r="B78" s="6" t="s">
        <v>237</v>
      </c>
      <c r="C78" s="5" t="s">
        <v>329</v>
      </c>
    </row>
    <row r="79" ht="115" customHeight="1" spans="1:3">
      <c r="A79" s="5" t="s">
        <v>104</v>
      </c>
      <c r="B79" s="6" t="s">
        <v>330</v>
      </c>
      <c r="C79" s="5" t="s">
        <v>331</v>
      </c>
    </row>
    <row r="80" ht="115" customHeight="1" spans="1:3">
      <c r="A80" s="5" t="s">
        <v>105</v>
      </c>
      <c r="B80" s="6" t="s">
        <v>332</v>
      </c>
      <c r="C80" s="5" t="s">
        <v>333</v>
      </c>
    </row>
    <row r="81" ht="115" customHeight="1" spans="1:3">
      <c r="A81" s="5" t="s">
        <v>106</v>
      </c>
      <c r="B81" s="6" t="s">
        <v>334</v>
      </c>
      <c r="C81" s="5" t="s">
        <v>335</v>
      </c>
    </row>
    <row r="82" ht="115" customHeight="1" spans="1:3">
      <c r="A82" s="5" t="s">
        <v>107</v>
      </c>
      <c r="B82" s="6" t="s">
        <v>336</v>
      </c>
      <c r="C82" s="5" t="s">
        <v>337</v>
      </c>
    </row>
    <row r="83" ht="115" customHeight="1" spans="1:3">
      <c r="A83" s="5" t="s">
        <v>108</v>
      </c>
      <c r="B83" s="6" t="s">
        <v>338</v>
      </c>
      <c r="C83" s="5" t="s">
        <v>339</v>
      </c>
    </row>
    <row r="84" ht="115" customHeight="1" spans="1:3">
      <c r="A84" s="5" t="s">
        <v>109</v>
      </c>
      <c r="B84" s="6" t="s">
        <v>340</v>
      </c>
      <c r="C84" s="5" t="s">
        <v>341</v>
      </c>
    </row>
    <row r="85" ht="115" customHeight="1" spans="1:3">
      <c r="A85" s="5" t="s">
        <v>110</v>
      </c>
      <c r="B85" s="6" t="s">
        <v>342</v>
      </c>
      <c r="C85" s="5" t="s">
        <v>343</v>
      </c>
    </row>
    <row r="86" ht="115" customHeight="1" spans="1:3">
      <c r="A86" s="5" t="s">
        <v>111</v>
      </c>
      <c r="B86" s="6" t="s">
        <v>344</v>
      </c>
      <c r="C86" s="5" t="s">
        <v>345</v>
      </c>
    </row>
    <row r="87" ht="115" customHeight="1" spans="1:3">
      <c r="A87" s="5" t="s">
        <v>112</v>
      </c>
      <c r="B87" s="6" t="s">
        <v>346</v>
      </c>
      <c r="C87" s="5" t="s">
        <v>347</v>
      </c>
    </row>
    <row r="88" ht="115" customHeight="1" spans="1:3">
      <c r="A88" s="5" t="s">
        <v>113</v>
      </c>
      <c r="B88" s="6" t="s">
        <v>348</v>
      </c>
      <c r="C88" s="5" t="s">
        <v>349</v>
      </c>
    </row>
    <row r="89" ht="115" customHeight="1" spans="1:3">
      <c r="A89" s="5" t="s">
        <v>114</v>
      </c>
      <c r="B89" s="6" t="s">
        <v>350</v>
      </c>
      <c r="C89" s="5" t="s">
        <v>351</v>
      </c>
    </row>
    <row r="90" ht="115" customHeight="1" spans="1:3">
      <c r="A90" s="5" t="s">
        <v>115</v>
      </c>
      <c r="B90" s="6" t="s">
        <v>352</v>
      </c>
      <c r="C90" s="5" t="s">
        <v>353</v>
      </c>
    </row>
    <row r="91" ht="115" customHeight="1" spans="1:3">
      <c r="A91" s="5" t="s">
        <v>116</v>
      </c>
      <c r="B91" s="6" t="s">
        <v>354</v>
      </c>
      <c r="C91" s="5" t="s">
        <v>355</v>
      </c>
    </row>
    <row r="92" ht="115" customHeight="1" spans="1:3">
      <c r="A92" s="5" t="s">
        <v>117</v>
      </c>
      <c r="B92" s="6" t="s">
        <v>356</v>
      </c>
      <c r="C92" s="5" t="s">
        <v>357</v>
      </c>
    </row>
    <row r="93" ht="115" customHeight="1" spans="1:3">
      <c r="A93" s="5" t="s">
        <v>118</v>
      </c>
      <c r="B93" s="6" t="s">
        <v>358</v>
      </c>
      <c r="C93" s="5" t="s">
        <v>359</v>
      </c>
    </row>
    <row r="94" ht="115" customHeight="1" spans="1:3">
      <c r="A94" s="5" t="s">
        <v>119</v>
      </c>
      <c r="B94" s="6" t="s">
        <v>360</v>
      </c>
      <c r="C94" s="5" t="s">
        <v>361</v>
      </c>
    </row>
    <row r="95" ht="115" customHeight="1" spans="1:3">
      <c r="A95" s="5" t="s">
        <v>120</v>
      </c>
      <c r="B95" s="6" t="s">
        <v>362</v>
      </c>
      <c r="C95" s="5" t="s">
        <v>363</v>
      </c>
    </row>
    <row r="96" ht="115" customHeight="1" spans="1:3">
      <c r="A96" s="5" t="s">
        <v>121</v>
      </c>
      <c r="B96" s="6" t="s">
        <v>364</v>
      </c>
      <c r="C96" s="5" t="s">
        <v>365</v>
      </c>
    </row>
    <row r="97" ht="115" customHeight="1" spans="1:3">
      <c r="A97" s="5" t="s">
        <v>122</v>
      </c>
      <c r="B97" s="6" t="s">
        <v>366</v>
      </c>
      <c r="C97" s="5" t="s">
        <v>367</v>
      </c>
    </row>
    <row r="98" ht="115" customHeight="1" spans="1:3">
      <c r="A98" s="5" t="s">
        <v>123</v>
      </c>
      <c r="B98" s="6" t="s">
        <v>368</v>
      </c>
      <c r="C98" s="5" t="s">
        <v>369</v>
      </c>
    </row>
    <row r="99" ht="115" customHeight="1" spans="1:3">
      <c r="A99" s="5" t="s">
        <v>124</v>
      </c>
      <c r="B99" s="6" t="s">
        <v>370</v>
      </c>
      <c r="C99" s="5" t="s">
        <v>371</v>
      </c>
    </row>
    <row r="100" ht="115" customHeight="1" spans="1:3">
      <c r="A100" s="5" t="s">
        <v>125</v>
      </c>
      <c r="B100" s="6" t="s">
        <v>372</v>
      </c>
      <c r="C100" s="5" t="s">
        <v>373</v>
      </c>
    </row>
    <row r="101" ht="115" customHeight="1" spans="1:3">
      <c r="A101" s="5" t="s">
        <v>126</v>
      </c>
      <c r="B101" s="6" t="s">
        <v>374</v>
      </c>
      <c r="C101" s="5" t="s">
        <v>375</v>
      </c>
    </row>
    <row r="102" ht="115" customHeight="1" spans="1:3">
      <c r="A102" s="5" t="s">
        <v>127</v>
      </c>
      <c r="B102" s="6" t="s">
        <v>376</v>
      </c>
      <c r="C102" s="5" t="s">
        <v>377</v>
      </c>
    </row>
    <row r="103" ht="115" customHeight="1" spans="1:3">
      <c r="A103" s="5" t="s">
        <v>128</v>
      </c>
      <c r="B103" s="6" t="s">
        <v>378</v>
      </c>
      <c r="C103" s="5" t="s">
        <v>379</v>
      </c>
    </row>
    <row r="104" ht="115" customHeight="1" spans="1:3">
      <c r="A104" s="5" t="s">
        <v>129</v>
      </c>
      <c r="B104" s="6" t="s">
        <v>380</v>
      </c>
      <c r="C104" s="5" t="s">
        <v>381</v>
      </c>
    </row>
    <row r="105" ht="38" customHeight="1" spans="1:3">
      <c r="A105" s="5" t="s">
        <v>130</v>
      </c>
      <c r="B105" s="6" t="s">
        <v>237</v>
      </c>
      <c r="C105" s="5" t="s">
        <v>382</v>
      </c>
    </row>
    <row r="106" ht="38" customHeight="1" spans="1:3">
      <c r="A106" s="5" t="s">
        <v>131</v>
      </c>
      <c r="B106" s="6" t="s">
        <v>237</v>
      </c>
      <c r="C106" s="5" t="s">
        <v>383</v>
      </c>
    </row>
    <row r="107" ht="38" customHeight="1" spans="1:3">
      <c r="A107" s="5" t="s">
        <v>132</v>
      </c>
      <c r="B107" s="6" t="s">
        <v>237</v>
      </c>
      <c r="C107" s="5" t="s">
        <v>384</v>
      </c>
    </row>
    <row r="108" ht="38" customHeight="1" spans="1:3">
      <c r="A108" s="5" t="s">
        <v>133</v>
      </c>
      <c r="B108" s="6" t="s">
        <v>237</v>
      </c>
      <c r="C108" s="5" t="s">
        <v>385</v>
      </c>
    </row>
    <row r="109" ht="38" customHeight="1" spans="1:3">
      <c r="A109" s="5" t="s">
        <v>134</v>
      </c>
      <c r="B109" s="6" t="s">
        <v>237</v>
      </c>
      <c r="C109" s="5" t="s">
        <v>386</v>
      </c>
    </row>
    <row r="110" ht="115" customHeight="1" spans="1:3">
      <c r="A110" s="5" t="s">
        <v>135</v>
      </c>
      <c r="B110" s="6" t="s">
        <v>387</v>
      </c>
      <c r="C110" s="5" t="s">
        <v>388</v>
      </c>
    </row>
    <row r="111" ht="115" customHeight="1" spans="1:3">
      <c r="A111" s="5" t="s">
        <v>136</v>
      </c>
      <c r="B111" s="6" t="s">
        <v>389</v>
      </c>
      <c r="C111" s="5" t="s">
        <v>390</v>
      </c>
    </row>
    <row r="112" ht="115" customHeight="1" spans="1:3">
      <c r="A112" s="5" t="s">
        <v>137</v>
      </c>
      <c r="B112" s="6" t="s">
        <v>391</v>
      </c>
      <c r="C112" s="5" t="s">
        <v>392</v>
      </c>
    </row>
    <row r="113" ht="115" customHeight="1" spans="1:3">
      <c r="A113" s="5" t="s">
        <v>138</v>
      </c>
      <c r="B113" s="6" t="s">
        <v>393</v>
      </c>
      <c r="C113" s="5" t="s">
        <v>394</v>
      </c>
    </row>
    <row r="114" ht="115" customHeight="1" spans="1:3">
      <c r="A114" s="5" t="s">
        <v>139</v>
      </c>
      <c r="B114" s="6" t="s">
        <v>395</v>
      </c>
      <c r="C114" s="5" t="s">
        <v>396</v>
      </c>
    </row>
    <row r="115" ht="115" customHeight="1" spans="1:3">
      <c r="A115" s="5" t="s">
        <v>140</v>
      </c>
      <c r="B115" s="6" t="s">
        <v>397</v>
      </c>
      <c r="C115" s="5" t="s">
        <v>398</v>
      </c>
    </row>
    <row r="116" ht="115" customHeight="1" spans="1:3">
      <c r="A116" s="5" t="s">
        <v>141</v>
      </c>
      <c r="B116" s="6" t="s">
        <v>399</v>
      </c>
      <c r="C116" s="5" t="s">
        <v>400</v>
      </c>
    </row>
    <row r="117" ht="115" customHeight="1" spans="1:3">
      <c r="A117" s="5" t="s">
        <v>142</v>
      </c>
      <c r="B117" s="6" t="s">
        <v>401</v>
      </c>
      <c r="C117" s="5" t="s">
        <v>402</v>
      </c>
    </row>
    <row r="118" ht="115" customHeight="1" spans="1:3">
      <c r="A118" s="5" t="s">
        <v>143</v>
      </c>
      <c r="B118" s="6" t="s">
        <v>403</v>
      </c>
      <c r="C118" s="5" t="s">
        <v>404</v>
      </c>
    </row>
    <row r="119" ht="115" customHeight="1" spans="1:3">
      <c r="A119" s="5" t="s">
        <v>144</v>
      </c>
      <c r="B119" s="6" t="s">
        <v>405</v>
      </c>
      <c r="C119" s="5" t="s">
        <v>406</v>
      </c>
    </row>
    <row r="120" ht="115" customHeight="1" spans="1:3">
      <c r="A120" s="5" t="s">
        <v>145</v>
      </c>
      <c r="B120" s="6" t="s">
        <v>407</v>
      </c>
      <c r="C120" s="5" t="s">
        <v>408</v>
      </c>
    </row>
    <row r="121" ht="115" customHeight="1" spans="1:3">
      <c r="A121" s="5" t="s">
        <v>146</v>
      </c>
      <c r="B121" s="6" t="s">
        <v>409</v>
      </c>
      <c r="C121" s="5" t="s">
        <v>410</v>
      </c>
    </row>
    <row r="122" ht="115" customHeight="1" spans="1:3">
      <c r="A122" s="5" t="s">
        <v>147</v>
      </c>
      <c r="B122" s="6" t="s">
        <v>411</v>
      </c>
      <c r="C122" s="5" t="s">
        <v>412</v>
      </c>
    </row>
    <row r="123" ht="115" customHeight="1" spans="1:3">
      <c r="A123" s="5" t="s">
        <v>148</v>
      </c>
      <c r="B123" s="6" t="s">
        <v>413</v>
      </c>
      <c r="C123" s="5" t="s">
        <v>414</v>
      </c>
    </row>
    <row r="124" ht="115" customHeight="1" spans="1:3">
      <c r="A124" s="5" t="s">
        <v>149</v>
      </c>
      <c r="B124" s="6" t="s">
        <v>411</v>
      </c>
      <c r="C124" s="5" t="s">
        <v>415</v>
      </c>
    </row>
    <row r="125" ht="115" customHeight="1" spans="1:3">
      <c r="A125" s="5" t="s">
        <v>150</v>
      </c>
      <c r="B125" s="6" t="s">
        <v>416</v>
      </c>
      <c r="C125" s="5" t="s">
        <v>417</v>
      </c>
    </row>
    <row r="126" ht="115" customHeight="1" spans="1:3">
      <c r="A126" s="5" t="s">
        <v>152</v>
      </c>
      <c r="B126" s="6" t="s">
        <v>418</v>
      </c>
      <c r="C126" s="5" t="s">
        <v>419</v>
      </c>
    </row>
    <row r="127" ht="115" customHeight="1" spans="1:3">
      <c r="A127" s="5" t="s">
        <v>153</v>
      </c>
      <c r="B127" s="6" t="s">
        <v>420</v>
      </c>
      <c r="C127" s="5" t="s">
        <v>421</v>
      </c>
    </row>
    <row r="128" ht="115" customHeight="1" spans="1:3">
      <c r="A128" s="5" t="s">
        <v>154</v>
      </c>
      <c r="B128" s="6" t="s">
        <v>422</v>
      </c>
      <c r="C128" s="5" t="s">
        <v>423</v>
      </c>
    </row>
    <row r="129" ht="115" customHeight="1" spans="1:3">
      <c r="A129" s="5" t="s">
        <v>155</v>
      </c>
      <c r="B129" s="6" t="s">
        <v>424</v>
      </c>
      <c r="C129" s="5" t="s">
        <v>425</v>
      </c>
    </row>
    <row r="130" ht="115" customHeight="1" spans="1:3">
      <c r="A130" s="5" t="s">
        <v>156</v>
      </c>
      <c r="B130" s="6" t="s">
        <v>426</v>
      </c>
      <c r="C130" s="5" t="s">
        <v>427</v>
      </c>
    </row>
    <row r="131" ht="115" customHeight="1" spans="1:3">
      <c r="A131" s="5" t="s">
        <v>157</v>
      </c>
      <c r="B131" s="6" t="s">
        <v>428</v>
      </c>
      <c r="C131" s="5" t="s">
        <v>429</v>
      </c>
    </row>
    <row r="132" ht="115" customHeight="1" spans="1:3">
      <c r="A132" s="5" t="s">
        <v>158</v>
      </c>
      <c r="B132" s="6" t="s">
        <v>233</v>
      </c>
      <c r="C132" s="5" t="s">
        <v>430</v>
      </c>
    </row>
    <row r="133" ht="115" customHeight="1" spans="1:3">
      <c r="A133" s="5" t="s">
        <v>159</v>
      </c>
      <c r="B133" s="6" t="s">
        <v>413</v>
      </c>
      <c r="C133" s="5" t="s">
        <v>431</v>
      </c>
    </row>
    <row r="134" ht="115" customHeight="1" spans="1:3">
      <c r="A134" s="5" t="s">
        <v>160</v>
      </c>
      <c r="B134" s="6" t="s">
        <v>428</v>
      </c>
      <c r="C134" s="5" t="s">
        <v>432</v>
      </c>
    </row>
    <row r="135" ht="115" customHeight="1" spans="1:3">
      <c r="A135" s="5" t="s">
        <v>161</v>
      </c>
      <c r="B135" s="6" t="s">
        <v>433</v>
      </c>
      <c r="C135" s="5" t="s">
        <v>434</v>
      </c>
    </row>
    <row r="136" ht="115" customHeight="1" spans="1:3">
      <c r="A136" s="5" t="s">
        <v>162</v>
      </c>
      <c r="B136" s="6" t="s">
        <v>418</v>
      </c>
      <c r="C136" s="5" t="s">
        <v>435</v>
      </c>
    </row>
    <row r="137" ht="38" customHeight="1" spans="1:3">
      <c r="A137" s="5" t="s">
        <v>163</v>
      </c>
      <c r="B137" s="6" t="s">
        <v>237</v>
      </c>
      <c r="C137" s="5" t="s">
        <v>436</v>
      </c>
    </row>
    <row r="138" ht="38" customHeight="1" spans="1:3">
      <c r="A138" s="5" t="s">
        <v>164</v>
      </c>
      <c r="B138" s="6" t="s">
        <v>237</v>
      </c>
      <c r="C138" s="5" t="s">
        <v>437</v>
      </c>
    </row>
    <row r="139" ht="38" customHeight="1" spans="1:3">
      <c r="A139" s="5" t="s">
        <v>165</v>
      </c>
      <c r="B139" s="6" t="s">
        <v>237</v>
      </c>
      <c r="C139" s="5" t="s">
        <v>438</v>
      </c>
    </row>
    <row r="140" ht="115" customHeight="1" spans="1:3">
      <c r="A140" s="5" t="s">
        <v>166</v>
      </c>
      <c r="B140" s="6" t="s">
        <v>439</v>
      </c>
      <c r="C140" s="5" t="s">
        <v>440</v>
      </c>
    </row>
    <row r="141" ht="115" customHeight="1" spans="1:3">
      <c r="A141" s="5" t="s">
        <v>167</v>
      </c>
      <c r="B141" s="6" t="s">
        <v>441</v>
      </c>
      <c r="C141" s="5" t="s">
        <v>442</v>
      </c>
    </row>
    <row r="142" ht="115" customHeight="1" spans="1:3">
      <c r="A142" s="5" t="s">
        <v>168</v>
      </c>
      <c r="B142" s="6" t="s">
        <v>443</v>
      </c>
      <c r="C142" s="5" t="s">
        <v>444</v>
      </c>
    </row>
    <row r="143" ht="115" customHeight="1" spans="1:3">
      <c r="A143" s="5" t="s">
        <v>169</v>
      </c>
      <c r="B143" s="6" t="s">
        <v>445</v>
      </c>
      <c r="C143" s="5" t="s">
        <v>446</v>
      </c>
    </row>
    <row r="144" ht="115" customHeight="1" spans="1:3">
      <c r="A144" s="5" t="s">
        <v>170</v>
      </c>
      <c r="B144" s="6" t="s">
        <v>447</v>
      </c>
      <c r="C144" s="5" t="s">
        <v>448</v>
      </c>
    </row>
    <row r="145" ht="115" customHeight="1" spans="1:3">
      <c r="A145" s="5" t="s">
        <v>171</v>
      </c>
      <c r="B145" s="6" t="s">
        <v>449</v>
      </c>
      <c r="C145" s="5" t="s">
        <v>450</v>
      </c>
    </row>
    <row r="146" ht="115" customHeight="1" spans="1:3">
      <c r="A146" s="5" t="s">
        <v>172</v>
      </c>
      <c r="B146" s="6" t="s">
        <v>451</v>
      </c>
      <c r="C146" s="5" t="s">
        <v>452</v>
      </c>
    </row>
    <row r="147" ht="115" customHeight="1" spans="1:3">
      <c r="A147" s="5" t="s">
        <v>173</v>
      </c>
      <c r="B147" s="6" t="s">
        <v>453</v>
      </c>
      <c r="C147" s="5" t="s">
        <v>454</v>
      </c>
    </row>
    <row r="148" ht="115" customHeight="1" spans="1:3">
      <c r="A148" s="5" t="s">
        <v>174</v>
      </c>
      <c r="B148" s="6" t="s">
        <v>455</v>
      </c>
      <c r="C148" s="5" t="s">
        <v>456</v>
      </c>
    </row>
    <row r="149" ht="115" customHeight="1" spans="1:3">
      <c r="A149" s="5" t="s">
        <v>175</v>
      </c>
      <c r="B149" s="6" t="s">
        <v>457</v>
      </c>
      <c r="C149" s="5" t="s">
        <v>458</v>
      </c>
    </row>
    <row r="150" ht="115" customHeight="1" spans="1:3">
      <c r="A150" s="5" t="s">
        <v>176</v>
      </c>
      <c r="B150" s="6" t="s">
        <v>459</v>
      </c>
      <c r="C150" s="5" t="s">
        <v>460</v>
      </c>
    </row>
    <row r="151" ht="115" customHeight="1" spans="1:3">
      <c r="A151" s="5" t="s">
        <v>177</v>
      </c>
      <c r="B151" s="6" t="s">
        <v>461</v>
      </c>
      <c r="C151" s="5" t="s">
        <v>462</v>
      </c>
    </row>
    <row r="152" ht="115" customHeight="1" spans="1:3">
      <c r="A152" s="5" t="s">
        <v>178</v>
      </c>
      <c r="B152" s="6" t="s">
        <v>416</v>
      </c>
      <c r="C152" s="5" t="s">
        <v>463</v>
      </c>
    </row>
    <row r="153" ht="115" customHeight="1" spans="1:3">
      <c r="A153" s="5" t="s">
        <v>179</v>
      </c>
      <c r="B153" s="6" t="s">
        <v>428</v>
      </c>
      <c r="C153" s="5" t="s">
        <v>464</v>
      </c>
    </row>
    <row r="154" ht="115" customHeight="1" spans="1:3">
      <c r="A154" s="5" t="s">
        <v>180</v>
      </c>
      <c r="B154" s="6" t="s">
        <v>465</v>
      </c>
      <c r="C154" s="5" t="s">
        <v>466</v>
      </c>
    </row>
    <row r="155" ht="115" customHeight="1" spans="1:3">
      <c r="A155" s="5" t="s">
        <v>181</v>
      </c>
      <c r="B155" s="6" t="s">
        <v>428</v>
      </c>
      <c r="C155" s="5" t="s">
        <v>467</v>
      </c>
    </row>
    <row r="156" ht="115" customHeight="1" spans="1:3">
      <c r="A156" s="5" t="s">
        <v>182</v>
      </c>
      <c r="B156" s="6" t="s">
        <v>468</v>
      </c>
      <c r="C156" s="5" t="s">
        <v>469</v>
      </c>
    </row>
    <row r="157" ht="115" customHeight="1" spans="1:3">
      <c r="A157" s="5" t="s">
        <v>183</v>
      </c>
      <c r="B157" s="6" t="s">
        <v>428</v>
      </c>
      <c r="C157" s="5" t="s">
        <v>470</v>
      </c>
    </row>
    <row r="158" ht="115" customHeight="1" spans="1:3">
      <c r="A158" s="5" t="s">
        <v>184</v>
      </c>
      <c r="B158" s="6" t="s">
        <v>471</v>
      </c>
      <c r="C158" s="5" t="s">
        <v>472</v>
      </c>
    </row>
    <row r="159" ht="115" customHeight="1" spans="1:3">
      <c r="A159" s="5" t="s">
        <v>185</v>
      </c>
      <c r="B159" s="6" t="s">
        <v>473</v>
      </c>
      <c r="C159" s="5" t="s">
        <v>474</v>
      </c>
    </row>
    <row r="160" ht="115" customHeight="1" spans="1:3">
      <c r="A160" s="5" t="s">
        <v>186</v>
      </c>
      <c r="B160" s="6" t="s">
        <v>475</v>
      </c>
      <c r="C160" s="5" t="s">
        <v>476</v>
      </c>
    </row>
    <row r="161" ht="115" customHeight="1" spans="1:3">
      <c r="A161" s="5" t="s">
        <v>187</v>
      </c>
      <c r="B161" s="6" t="s">
        <v>477</v>
      </c>
      <c r="C161" s="5" t="s">
        <v>478</v>
      </c>
    </row>
    <row r="162" ht="115" customHeight="1" spans="1:3">
      <c r="A162" s="5" t="s">
        <v>188</v>
      </c>
      <c r="B162" s="6" t="s">
        <v>479</v>
      </c>
      <c r="C162" s="5" t="s">
        <v>480</v>
      </c>
    </row>
    <row r="163" ht="115" customHeight="1" spans="1:3">
      <c r="A163" s="5" t="s">
        <v>189</v>
      </c>
      <c r="B163" s="6" t="s">
        <v>481</v>
      </c>
      <c r="C163" s="5" t="s">
        <v>482</v>
      </c>
    </row>
    <row r="164" ht="115" customHeight="1" spans="1:3">
      <c r="A164" s="5" t="s">
        <v>190</v>
      </c>
      <c r="B164" s="6" t="s">
        <v>428</v>
      </c>
      <c r="C164" s="5" t="s">
        <v>483</v>
      </c>
    </row>
    <row r="165" ht="115" customHeight="1" spans="1:3">
      <c r="A165" s="5" t="s">
        <v>191</v>
      </c>
      <c r="B165" s="6" t="s">
        <v>484</v>
      </c>
      <c r="C165" s="5" t="s">
        <v>485</v>
      </c>
    </row>
    <row r="166" ht="115" customHeight="1" spans="1:3">
      <c r="A166" s="5" t="s">
        <v>192</v>
      </c>
      <c r="B166" s="6" t="s">
        <v>428</v>
      </c>
      <c r="C166" s="5" t="s">
        <v>486</v>
      </c>
    </row>
    <row r="167" ht="115" customHeight="1" spans="1:3">
      <c r="A167" s="5" t="s">
        <v>193</v>
      </c>
      <c r="B167" s="6" t="s">
        <v>487</v>
      </c>
      <c r="C167" s="5" t="s">
        <v>488</v>
      </c>
    </row>
    <row r="168" ht="115" customHeight="1" spans="1:3">
      <c r="A168" s="5" t="s">
        <v>194</v>
      </c>
      <c r="B168" s="6" t="s">
        <v>489</v>
      </c>
      <c r="C168" s="5" t="s">
        <v>490</v>
      </c>
    </row>
    <row r="169" ht="38" customHeight="1" spans="1:3">
      <c r="A169" s="5" t="s">
        <v>195</v>
      </c>
      <c r="B169" s="6" t="s">
        <v>237</v>
      </c>
      <c r="C169" s="5" t="s">
        <v>491</v>
      </c>
    </row>
    <row r="170" ht="38" customHeight="1" spans="1:3">
      <c r="A170" s="5" t="s">
        <v>196</v>
      </c>
      <c r="B170" s="6" t="s">
        <v>237</v>
      </c>
      <c r="C170" s="5" t="s">
        <v>492</v>
      </c>
    </row>
    <row r="171" ht="115" customHeight="1" spans="1:3">
      <c r="A171" s="5" t="s">
        <v>197</v>
      </c>
      <c r="B171" s="6" t="s">
        <v>493</v>
      </c>
      <c r="C171" s="5" t="s">
        <v>494</v>
      </c>
    </row>
    <row r="172" ht="115" customHeight="1" spans="1:3">
      <c r="A172" s="5" t="s">
        <v>198</v>
      </c>
      <c r="B172" s="6" t="s">
        <v>495</v>
      </c>
      <c r="C172" s="5" t="s">
        <v>496</v>
      </c>
    </row>
    <row r="173" ht="115" customHeight="1" spans="1:3">
      <c r="A173" s="5" t="s">
        <v>199</v>
      </c>
      <c r="B173" s="6" t="s">
        <v>497</v>
      </c>
      <c r="C173" s="5" t="s">
        <v>498</v>
      </c>
    </row>
    <row r="174" ht="115" customHeight="1" spans="1:3">
      <c r="A174" s="5" t="s">
        <v>200</v>
      </c>
      <c r="B174" s="6" t="s">
        <v>499</v>
      </c>
      <c r="C174" s="5" t="s">
        <v>500</v>
      </c>
    </row>
    <row r="175" ht="115" customHeight="1" spans="1:3">
      <c r="A175" s="5" t="s">
        <v>201</v>
      </c>
      <c r="B175" s="6" t="s">
        <v>501</v>
      </c>
      <c r="C175" s="5" t="s">
        <v>502</v>
      </c>
    </row>
    <row r="176" ht="115" customHeight="1" spans="1:3">
      <c r="A176" s="5" t="s">
        <v>202</v>
      </c>
      <c r="B176" s="6" t="s">
        <v>503</v>
      </c>
      <c r="C176" s="5" t="s">
        <v>504</v>
      </c>
    </row>
    <row r="177" ht="115" customHeight="1" spans="1:3">
      <c r="A177" s="5" t="s">
        <v>203</v>
      </c>
      <c r="B177" s="6" t="s">
        <v>505</v>
      </c>
      <c r="C177" s="5" t="s">
        <v>506</v>
      </c>
    </row>
    <row r="178" ht="115" customHeight="1" spans="1:3">
      <c r="A178" s="5" t="s">
        <v>204</v>
      </c>
      <c r="B178" s="6" t="s">
        <v>507</v>
      </c>
      <c r="C178" s="5" t="s">
        <v>508</v>
      </c>
    </row>
    <row r="179" ht="115" customHeight="1" spans="1:3">
      <c r="A179" s="5" t="s">
        <v>205</v>
      </c>
      <c r="B179" s="6" t="s">
        <v>509</v>
      </c>
      <c r="C179" s="5" t="s">
        <v>510</v>
      </c>
    </row>
    <row r="180" ht="115" customHeight="1" spans="1:3">
      <c r="A180" s="5" t="s">
        <v>206</v>
      </c>
      <c r="B180" s="6" t="s">
        <v>511</v>
      </c>
      <c r="C180" s="5" t="s">
        <v>512</v>
      </c>
    </row>
    <row r="181" ht="115" customHeight="1" spans="1:3">
      <c r="A181" s="5" t="s">
        <v>207</v>
      </c>
      <c r="B181" s="6" t="s">
        <v>513</v>
      </c>
      <c r="C181" s="5" t="s">
        <v>514</v>
      </c>
    </row>
    <row r="182" ht="115" customHeight="1" spans="1:3">
      <c r="A182" s="5" t="s">
        <v>208</v>
      </c>
      <c r="B182" s="6" t="s">
        <v>481</v>
      </c>
      <c r="C182" s="5" t="s">
        <v>515</v>
      </c>
    </row>
    <row r="183" ht="115" customHeight="1" spans="1:3">
      <c r="A183" s="5" t="s">
        <v>209</v>
      </c>
      <c r="B183" s="6" t="s">
        <v>516</v>
      </c>
      <c r="C183" s="5" t="s">
        <v>517</v>
      </c>
    </row>
    <row r="184" ht="115" customHeight="1" spans="1:3">
      <c r="A184" s="5" t="s">
        <v>210</v>
      </c>
      <c r="B184" s="6" t="s">
        <v>518</v>
      </c>
      <c r="C184" s="5" t="s">
        <v>519</v>
      </c>
    </row>
    <row r="185" ht="115" customHeight="1" spans="1:3">
      <c r="A185" s="5" t="s">
        <v>211</v>
      </c>
      <c r="B185" s="6" t="s">
        <v>520</v>
      </c>
      <c r="C185" s="5" t="s">
        <v>521</v>
      </c>
    </row>
    <row r="186" ht="115" customHeight="1" spans="1:3">
      <c r="A186" s="5" t="s">
        <v>212</v>
      </c>
      <c r="B186" s="6" t="s">
        <v>522</v>
      </c>
      <c r="C186" s="5" t="s">
        <v>523</v>
      </c>
    </row>
    <row r="187" ht="115" customHeight="1" spans="1:3">
      <c r="A187" s="5" t="s">
        <v>213</v>
      </c>
      <c r="B187" s="6" t="s">
        <v>524</v>
      </c>
      <c r="C187" s="5" t="s">
        <v>525</v>
      </c>
    </row>
    <row r="188" ht="115" customHeight="1" spans="1:3">
      <c r="A188" s="5" t="s">
        <v>214</v>
      </c>
      <c r="B188" s="6" t="s">
        <v>522</v>
      </c>
      <c r="C188" s="5" t="s">
        <v>526</v>
      </c>
    </row>
    <row r="189" ht="115" customHeight="1" spans="1:3">
      <c r="A189" s="5" t="s">
        <v>215</v>
      </c>
      <c r="B189" s="6" t="s">
        <v>527</v>
      </c>
      <c r="C189" s="5" t="s">
        <v>528</v>
      </c>
    </row>
    <row r="190" ht="115" customHeight="1" spans="1:3">
      <c r="A190" s="5" t="s">
        <v>216</v>
      </c>
      <c r="B190" s="6" t="s">
        <v>529</v>
      </c>
      <c r="C190" s="5" t="s">
        <v>530</v>
      </c>
    </row>
    <row r="191" ht="115" customHeight="1" spans="1:3">
      <c r="A191" s="5" t="s">
        <v>217</v>
      </c>
      <c r="B191" s="6" t="s">
        <v>233</v>
      </c>
      <c r="C191" s="5" t="s">
        <v>531</v>
      </c>
    </row>
    <row r="192" ht="115" customHeight="1" spans="1:3">
      <c r="A192" s="5" t="s">
        <v>218</v>
      </c>
      <c r="B192" s="6" t="s">
        <v>532</v>
      </c>
      <c r="C192" s="5" t="s">
        <v>533</v>
      </c>
    </row>
    <row r="193" ht="115" customHeight="1" spans="1:3">
      <c r="A193" s="5" t="s">
        <v>219</v>
      </c>
      <c r="B193" s="6" t="s">
        <v>534</v>
      </c>
      <c r="C193" s="5" t="s">
        <v>535</v>
      </c>
    </row>
    <row r="194" ht="115" customHeight="1" spans="1:3">
      <c r="A194" s="5" t="s">
        <v>220</v>
      </c>
      <c r="B194" s="6" t="s">
        <v>536</v>
      </c>
      <c r="C194" s="5" t="s">
        <v>537</v>
      </c>
    </row>
    <row r="195" ht="115" customHeight="1" spans="1:3">
      <c r="A195" s="5" t="s">
        <v>221</v>
      </c>
      <c r="B195" s="6" t="s">
        <v>428</v>
      </c>
      <c r="C195" s="5" t="s">
        <v>538</v>
      </c>
    </row>
    <row r="196" ht="115" customHeight="1" spans="1:3">
      <c r="A196" s="5" t="s">
        <v>222</v>
      </c>
      <c r="B196" s="6" t="s">
        <v>539</v>
      </c>
      <c r="C196" s="5" t="s">
        <v>540</v>
      </c>
    </row>
    <row r="197" ht="115" customHeight="1" spans="1:3">
      <c r="A197" s="5" t="s">
        <v>223</v>
      </c>
      <c r="B197" s="6" t="s">
        <v>541</v>
      </c>
      <c r="C197" s="5" t="s">
        <v>542</v>
      </c>
    </row>
    <row r="198" ht="115" customHeight="1" spans="1:3">
      <c r="A198" s="5" t="s">
        <v>224</v>
      </c>
      <c r="B198" s="6" t="s">
        <v>543</v>
      </c>
      <c r="C198" s="5" t="s">
        <v>544</v>
      </c>
    </row>
    <row r="199" ht="115" customHeight="1" spans="1:3">
      <c r="A199" s="5" t="s">
        <v>225</v>
      </c>
      <c r="B199" s="6" t="s">
        <v>545</v>
      </c>
      <c r="C199" s="5" t="s">
        <v>546</v>
      </c>
    </row>
    <row r="200" ht="115" customHeight="1" spans="1:3">
      <c r="A200" s="5" t="s">
        <v>226</v>
      </c>
      <c r="B200" s="6" t="s">
        <v>547</v>
      </c>
      <c r="C200" s="5" t="s">
        <v>548</v>
      </c>
    </row>
  </sheetData>
  <mergeCells count="1">
    <mergeCell ref="A2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实验结果</vt:lpstr>
      <vt:lpstr>完整回复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杨宇泽</cp:lastModifiedBy>
  <dcterms:created xsi:type="dcterms:W3CDTF">2026-10-30T10:36:47Z</dcterms:created>
  <dcterms:modified xsi:type="dcterms:W3CDTF">2026-10-30T10:37:58Z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CBC63A6F3B066F5F0603E46A594FEBE2_42</vt:lpwstr>
  </property>
  <property fmtid="{D5CDD505-2E9C-101B-9397-08002B2CF9AE}" pid="3" name="KSOProductBuildVer">
    <vt:lpwstr>2052-12.1.29182.29182</vt:lpwstr>
  </property>
  <property fmtid="{D5CDD505-2E9C-101B-9397-08002B2CF9AE}" pid="4" name="CalculationRule">
    <vt:i4>0</vt:i4>
  </property>
</Properties>
</file>